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D:\使用者資料\桌面\"/>
    </mc:Choice>
  </mc:AlternateContent>
  <xr:revisionPtr revIDLastSave="0" documentId="13_ncr:1_{635F473F-4F34-42FF-9452-B71E1CB504DA}" xr6:coauthVersionLast="47" xr6:coauthVersionMax="47" xr10:uidLastSave="{00000000-0000-0000-0000-000000000000}"/>
  <bookViews>
    <workbookView xWindow="930" yWindow="1935" windowWidth="21495" windowHeight="11385" xr2:uid="{00000000-000D-0000-FFFF-FFFF00000000}"/>
  </bookViews>
  <sheets>
    <sheet name="sheet1" sheetId="1" r:id="rId1"/>
  </sheets>
  <definedNames>
    <definedName name="_xlnm._FilterDatabase" localSheetId="0" hidden="1">sheet1!$A$1:$K$122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121" i="1" l="1"/>
  <c r="I120" i="1"/>
  <c r="I118" i="1"/>
  <c r="I116" i="1"/>
  <c r="I114" i="1"/>
  <c r="I84" i="1"/>
  <c r="I83" i="1"/>
  <c r="I81" i="1"/>
  <c r="I79" i="1"/>
  <c r="I77" i="1"/>
  <c r="I47" i="1"/>
  <c r="I46" i="1"/>
  <c r="I44" i="1"/>
  <c r="I42" i="1"/>
  <c r="I40" i="1"/>
  <c r="I112" i="1" l="1"/>
  <c r="I110" i="1"/>
  <c r="I109" i="1"/>
  <c r="I108" i="1"/>
  <c r="I75" i="1"/>
  <c r="I73" i="1"/>
  <c r="I72" i="1"/>
  <c r="I71" i="1"/>
  <c r="I38" i="1"/>
  <c r="I36" i="1"/>
  <c r="I35" i="1"/>
  <c r="I34" i="1"/>
  <c r="I107" i="1"/>
  <c r="I106" i="1"/>
  <c r="I105" i="1"/>
  <c r="I104" i="1"/>
  <c r="I103" i="1"/>
  <c r="I70" i="1"/>
  <c r="I69" i="1"/>
  <c r="I68" i="1"/>
  <c r="I67" i="1"/>
  <c r="I66" i="1"/>
  <c r="I33" i="1"/>
  <c r="I32" i="1"/>
  <c r="I31" i="1"/>
  <c r="I30" i="1"/>
  <c r="I29" i="1"/>
  <c r="I88" i="1" l="1"/>
  <c r="I89" i="1"/>
  <c r="I90" i="1"/>
  <c r="I91" i="1"/>
  <c r="I93" i="1"/>
  <c r="I94" i="1"/>
  <c r="I95" i="1"/>
  <c r="I96" i="1"/>
  <c r="I97" i="1"/>
  <c r="I98" i="1"/>
  <c r="I99" i="1"/>
  <c r="I100" i="1"/>
  <c r="I101" i="1"/>
  <c r="I87" i="1"/>
  <c r="I51" i="1"/>
  <c r="I52" i="1"/>
  <c r="I53" i="1"/>
  <c r="I54" i="1"/>
  <c r="I56" i="1"/>
  <c r="I57" i="1"/>
  <c r="I58" i="1"/>
  <c r="I59" i="1"/>
  <c r="I60" i="1"/>
  <c r="I61" i="1"/>
  <c r="I62" i="1"/>
  <c r="I63" i="1"/>
  <c r="I64" i="1"/>
  <c r="I50" i="1"/>
  <c r="I15" i="1"/>
  <c r="I16" i="1"/>
  <c r="I17" i="1"/>
  <c r="I19" i="1"/>
  <c r="I20" i="1"/>
  <c r="I21" i="1"/>
  <c r="I22" i="1"/>
  <c r="I23" i="1"/>
  <c r="I24" i="1"/>
  <c r="I25" i="1"/>
  <c r="I26" i="1"/>
  <c r="I27" i="1"/>
  <c r="I14" i="1"/>
  <c r="I13" i="1"/>
</calcChain>
</file>

<file path=xl/sharedStrings.xml><?xml version="1.0" encoding="utf-8"?>
<sst xmlns="http://schemas.openxmlformats.org/spreadsheetml/2006/main" count="514" uniqueCount="208">
  <si>
    <t>類型</t>
  </si>
  <si>
    <t>0000</t>
  </si>
  <si>
    <t>01</t>
    <phoneticPr fontId="1" type="noConversion"/>
  </si>
  <si>
    <t>0</t>
    <phoneticPr fontId="1" type="noConversion"/>
  </si>
  <si>
    <t>0</t>
    <phoneticPr fontId="1" type="noConversion"/>
  </si>
  <si>
    <t>02</t>
    <phoneticPr fontId="1" type="noConversion"/>
  </si>
  <si>
    <t>03</t>
    <phoneticPr fontId="1" type="noConversion"/>
  </si>
  <si>
    <t>04</t>
    <phoneticPr fontId="1" type="noConversion"/>
  </si>
  <si>
    <t>05</t>
    <phoneticPr fontId="1" type="noConversion"/>
  </si>
  <si>
    <t>09</t>
    <phoneticPr fontId="1" type="noConversion"/>
  </si>
  <si>
    <t>10</t>
    <phoneticPr fontId="1" type="noConversion"/>
  </si>
  <si>
    <t>0300</t>
  </si>
  <si>
    <t>0300</t>
    <phoneticPr fontId="1" type="noConversion"/>
  </si>
  <si>
    <r>
      <rPr>
        <sz val="10"/>
        <rFont val="新細明體"/>
        <family val="1"/>
        <charset val="136"/>
      </rPr>
      <t>對象</t>
    </r>
  </si>
  <si>
    <r>
      <rPr>
        <sz val="10"/>
        <rFont val="新細明體"/>
        <family val="1"/>
        <charset val="136"/>
      </rPr>
      <t>題型</t>
    </r>
  </si>
  <si>
    <r>
      <rPr>
        <sz val="10"/>
        <rFont val="新細明體"/>
        <family val="1"/>
        <charset val="136"/>
      </rPr>
      <t>題號</t>
    </r>
  </si>
  <si>
    <r>
      <t>1.</t>
    </r>
    <r>
      <rPr>
        <sz val="10"/>
        <rFont val="新細明體"/>
        <family val="1"/>
        <charset val="136"/>
      </rPr>
      <t>加強學術專業。</t>
    </r>
  </si>
  <si>
    <r>
      <t>2.</t>
    </r>
    <r>
      <rPr>
        <sz val="10"/>
        <rFont val="新細明體"/>
        <family val="1"/>
        <charset val="136"/>
      </rPr>
      <t>孕育人文精神。</t>
    </r>
  </si>
  <si>
    <r>
      <t>3.</t>
    </r>
    <r>
      <rPr>
        <sz val="10"/>
        <rFont val="新細明體"/>
        <family val="1"/>
        <charset val="136"/>
      </rPr>
      <t>追求宏觀創意。</t>
    </r>
  </si>
  <si>
    <r>
      <t>4.</t>
    </r>
    <r>
      <rPr>
        <sz val="10"/>
        <rFont val="新細明體"/>
        <family val="1"/>
        <charset val="136"/>
      </rPr>
      <t>培養國際視野。</t>
    </r>
  </si>
  <si>
    <r>
      <t>5.</t>
    </r>
    <r>
      <rPr>
        <sz val="10"/>
        <rFont val="新細明體"/>
        <family val="1"/>
        <charset val="136"/>
      </rPr>
      <t>促進五育均衡。</t>
    </r>
  </si>
  <si>
    <t>06</t>
    <phoneticPr fontId="1" type="noConversion"/>
  </si>
  <si>
    <t>07</t>
    <phoneticPr fontId="1" type="noConversion"/>
  </si>
  <si>
    <t>08</t>
    <phoneticPr fontId="1" type="noConversion"/>
  </si>
  <si>
    <t>11</t>
    <phoneticPr fontId="1" type="noConversion"/>
  </si>
  <si>
    <t>13</t>
    <phoneticPr fontId="1" type="noConversion"/>
  </si>
  <si>
    <t>15</t>
    <phoneticPr fontId="1" type="noConversion"/>
  </si>
  <si>
    <t>11</t>
    <phoneticPr fontId="1" type="noConversion"/>
  </si>
  <si>
    <t>15</t>
    <phoneticPr fontId="1" type="noConversion"/>
  </si>
  <si>
    <t>13</t>
    <phoneticPr fontId="1" type="noConversion"/>
  </si>
  <si>
    <t>14</t>
    <phoneticPr fontId="1" type="noConversion"/>
  </si>
  <si>
    <t>0</t>
    <phoneticPr fontId="1" type="noConversion"/>
  </si>
  <si>
    <t>B301</t>
  </si>
  <si>
    <t>B301</t>
    <phoneticPr fontId="1" type="noConversion"/>
  </si>
  <si>
    <t>12</t>
    <phoneticPr fontId="1" type="noConversion"/>
  </si>
  <si>
    <t>14</t>
    <phoneticPr fontId="1" type="noConversion"/>
  </si>
  <si>
    <t>30</t>
  </si>
  <si>
    <t>09</t>
    <phoneticPr fontId="1" type="noConversion"/>
  </si>
  <si>
    <t>M301</t>
  </si>
  <si>
    <t>M301</t>
    <phoneticPr fontId="1" type="noConversion"/>
  </si>
  <si>
    <t>12</t>
    <phoneticPr fontId="1" type="noConversion"/>
  </si>
  <si>
    <t>13</t>
    <phoneticPr fontId="1" type="noConversion"/>
  </si>
  <si>
    <t>11</t>
    <phoneticPr fontId="1" type="noConversion"/>
  </si>
  <si>
    <t>16</t>
    <phoneticPr fontId="1" type="noConversion"/>
  </si>
  <si>
    <t>17</t>
    <phoneticPr fontId="1" type="noConversion"/>
  </si>
  <si>
    <t>P301</t>
  </si>
  <si>
    <t>P301</t>
    <phoneticPr fontId="1" type="noConversion"/>
  </si>
  <si>
    <t>18</t>
    <phoneticPr fontId="1" type="noConversion"/>
  </si>
  <si>
    <t>20</t>
    <phoneticPr fontId="1" type="noConversion"/>
  </si>
  <si>
    <t>22</t>
    <phoneticPr fontId="1" type="noConversion"/>
  </si>
  <si>
    <t>24</t>
    <phoneticPr fontId="1" type="noConversion"/>
  </si>
  <si>
    <t>ANS_1</t>
  </si>
  <si>
    <t>ANS_2</t>
  </si>
  <si>
    <t>ANS_3</t>
  </si>
  <si>
    <t>ANS_4</t>
  </si>
  <si>
    <t>ANS_5</t>
  </si>
  <si>
    <t>ANS_6</t>
  </si>
  <si>
    <t>ANS_7</t>
  </si>
  <si>
    <t>ANS_8</t>
  </si>
  <si>
    <t>17</t>
    <phoneticPr fontId="1" type="noConversion"/>
  </si>
  <si>
    <t>16</t>
    <phoneticPr fontId="1" type="noConversion"/>
  </si>
  <si>
    <t>19</t>
    <phoneticPr fontId="1" type="noConversion"/>
  </si>
  <si>
    <t>18</t>
    <phoneticPr fontId="1" type="noConversion"/>
  </si>
  <si>
    <t>19</t>
    <phoneticPr fontId="1" type="noConversion"/>
  </si>
  <si>
    <t>21</t>
    <phoneticPr fontId="1" type="noConversion"/>
  </si>
  <si>
    <t>18</t>
    <phoneticPr fontId="1" type="noConversion"/>
  </si>
  <si>
    <t>21</t>
    <phoneticPr fontId="1" type="noConversion"/>
  </si>
  <si>
    <t>20</t>
    <phoneticPr fontId="1" type="noConversion"/>
  </si>
  <si>
    <t>25</t>
    <phoneticPr fontId="1" type="noConversion"/>
  </si>
  <si>
    <t>26</t>
    <phoneticPr fontId="1" type="noConversion"/>
  </si>
  <si>
    <t>23</t>
    <phoneticPr fontId="1" type="noConversion"/>
  </si>
  <si>
    <t>16</t>
    <phoneticPr fontId="1" type="noConversion"/>
  </si>
  <si>
    <t>20</t>
    <phoneticPr fontId="1" type="noConversion"/>
  </si>
  <si>
    <t>21</t>
    <phoneticPr fontId="1" type="noConversion"/>
  </si>
  <si>
    <t>22</t>
    <phoneticPr fontId="1" type="noConversion"/>
  </si>
  <si>
    <t>25</t>
    <phoneticPr fontId="1" type="noConversion"/>
  </si>
  <si>
    <t>0</t>
    <phoneticPr fontId="1" type="noConversion"/>
  </si>
  <si>
    <t>27</t>
    <phoneticPr fontId="1" type="noConversion"/>
  </si>
  <si>
    <t>28</t>
    <phoneticPr fontId="1" type="noConversion"/>
  </si>
  <si>
    <t>29</t>
    <phoneticPr fontId="1" type="noConversion"/>
  </si>
  <si>
    <r>
      <t>1.</t>
    </r>
    <r>
      <rPr>
        <sz val="10"/>
        <rFont val="新細明體"/>
        <family val="1"/>
        <charset val="136"/>
      </rPr>
      <t>能夠整合、組織電機專業理論來分析、表達問題之能力。</t>
    </r>
    <r>
      <rPr>
        <sz val="10"/>
        <rFont val="Times New Roman"/>
        <family val="1"/>
      </rPr>
      <t xml:space="preserve"> </t>
    </r>
  </si>
  <si>
    <r>
      <t>2.</t>
    </r>
    <r>
      <rPr>
        <sz val="10"/>
        <rFont val="新細明體"/>
        <family val="1"/>
        <charset val="136"/>
      </rPr>
      <t>能夠運用電機專業知識解決及實作電機工程問題之能力。</t>
    </r>
    <r>
      <rPr>
        <sz val="10"/>
        <rFont val="Times New Roman"/>
        <family val="1"/>
      </rPr>
      <t xml:space="preserve"> </t>
    </r>
  </si>
  <si>
    <r>
      <t>3.</t>
    </r>
    <r>
      <rPr>
        <sz val="10"/>
        <rFont val="新細明體"/>
        <family val="1"/>
        <charset val="136"/>
      </rPr>
      <t>具備分工、協調、重視團隊合作精神、遵守工程倫理以達成工作目標之能力。</t>
    </r>
    <r>
      <rPr>
        <sz val="10"/>
        <rFont val="Times New Roman"/>
        <family val="1"/>
      </rPr>
      <t xml:space="preserve"> </t>
    </r>
  </si>
  <si>
    <r>
      <t>4.</t>
    </r>
    <r>
      <rPr>
        <sz val="10"/>
        <rFont val="新細明體"/>
        <family val="1"/>
        <charset val="136"/>
      </rPr>
      <t>能夠激發自己潛能、融合他人智慧，具備獨立思考以及研究創新之能力。</t>
    </r>
    <r>
      <rPr>
        <sz val="10"/>
        <rFont val="Times New Roman"/>
        <family val="1"/>
      </rPr>
      <t xml:space="preserve"> </t>
    </r>
  </si>
  <si>
    <r>
      <t>5.</t>
    </r>
    <r>
      <rPr>
        <sz val="10"/>
        <rFont val="新細明體"/>
        <family val="1"/>
        <charset val="136"/>
      </rPr>
      <t>具備吸收電機新知、掌握國際發展趨勢，隨時接受競爭挑戰之能力。</t>
    </r>
    <r>
      <rPr>
        <sz val="10"/>
        <rFont val="Times New Roman"/>
        <family val="1"/>
      </rPr>
      <t xml:space="preserve"> </t>
    </r>
  </si>
  <si>
    <t>23</t>
    <phoneticPr fontId="1" type="noConversion"/>
  </si>
  <si>
    <t>31</t>
  </si>
  <si>
    <t>32</t>
  </si>
  <si>
    <t>33</t>
  </si>
  <si>
    <t>27</t>
    <phoneticPr fontId="1" type="noConversion"/>
  </si>
  <si>
    <t>23</t>
    <phoneticPr fontId="1" type="noConversion"/>
  </si>
  <si>
    <t>36</t>
    <phoneticPr fontId="1" type="noConversion"/>
  </si>
  <si>
    <r>
      <t>1.</t>
    </r>
    <r>
      <rPr>
        <sz val="10"/>
        <rFont val="新細明體"/>
        <family val="1"/>
        <charset val="136"/>
      </rPr>
      <t>具備前瞻性電機專業理論整合與分析之能力。</t>
    </r>
    <r>
      <rPr>
        <sz val="10"/>
        <rFont val="Times New Roman"/>
        <family val="1"/>
      </rPr>
      <t xml:space="preserve"> </t>
    </r>
  </si>
  <si>
    <r>
      <t>2.</t>
    </r>
    <r>
      <rPr>
        <sz val="10"/>
        <rFont val="新細明體"/>
        <family val="1"/>
        <charset val="136"/>
      </rPr>
      <t>具備運用先進電機專業技術進行研發並解決問題之能力。</t>
    </r>
    <r>
      <rPr>
        <sz val="10"/>
        <rFont val="Times New Roman"/>
        <family val="1"/>
      </rPr>
      <t xml:space="preserve"> </t>
    </r>
  </si>
  <si>
    <r>
      <t>3.</t>
    </r>
    <r>
      <rPr>
        <sz val="10"/>
        <rFont val="新細明體"/>
        <family val="1"/>
        <charset val="136"/>
      </rPr>
      <t>能夠遵守專業倫理，並具備團隊合作精神與領導統御之能力。</t>
    </r>
    <r>
      <rPr>
        <sz val="10"/>
        <rFont val="Times New Roman"/>
        <family val="1"/>
      </rPr>
      <t xml:space="preserve"> </t>
    </r>
  </si>
  <si>
    <r>
      <t>4.</t>
    </r>
    <r>
      <rPr>
        <sz val="10"/>
        <rFont val="新細明體"/>
        <family val="1"/>
        <charset val="136"/>
      </rPr>
      <t>能夠融合眾人智慧並提昇自我潛能，以具備獨立思考與研究創新之能力。</t>
    </r>
    <r>
      <rPr>
        <sz val="10"/>
        <rFont val="Times New Roman"/>
        <family val="1"/>
      </rPr>
      <t xml:space="preserve"> </t>
    </r>
  </si>
  <si>
    <r>
      <t>5.</t>
    </r>
    <r>
      <rPr>
        <sz val="10"/>
        <rFont val="新細明體"/>
        <family val="1"/>
        <charset val="136"/>
      </rPr>
      <t>能夠吸收尖端電機新知並結合世界發展潮流，以具備國際化競爭之能力。</t>
    </r>
    <r>
      <rPr>
        <sz val="10"/>
        <rFont val="Times New Roman"/>
        <family val="1"/>
      </rPr>
      <t xml:space="preserve">  </t>
    </r>
  </si>
  <si>
    <t>26</t>
    <phoneticPr fontId="1" type="noConversion"/>
  </si>
  <si>
    <r>
      <t>5.</t>
    </r>
    <r>
      <rPr>
        <sz val="10"/>
        <rFont val="新細明體"/>
        <family val="1"/>
        <charset val="136"/>
      </rPr>
      <t>能夠吸收尖端電機新知並結合世界發展潮流，以具備國際化競爭之能力。</t>
    </r>
  </si>
  <si>
    <t>24</t>
    <phoneticPr fontId="1" type="noConversion"/>
  </si>
  <si>
    <t>25</t>
    <phoneticPr fontId="1" type="noConversion"/>
  </si>
  <si>
    <t>OTHER1</t>
    <phoneticPr fontId="2" type="noConversion"/>
  </si>
  <si>
    <t>OTHER2</t>
  </si>
  <si>
    <t>28</t>
    <phoneticPr fontId="1" type="noConversion"/>
  </si>
  <si>
    <t>29</t>
    <phoneticPr fontId="1" type="noConversion"/>
  </si>
  <si>
    <t>34</t>
    <phoneticPr fontId="1" type="noConversion"/>
  </si>
  <si>
    <t>29</t>
    <phoneticPr fontId="1" type="noConversion"/>
  </si>
  <si>
    <r>
      <rPr>
        <sz val="10"/>
        <rFont val="細明體"/>
        <family val="3"/>
        <charset val="136"/>
      </rPr>
      <t>（三）您已達成系</t>
    </r>
    <r>
      <rPr>
        <sz val="10"/>
        <rFont val="Times New Roman"/>
        <family val="1"/>
      </rPr>
      <t>(</t>
    </r>
    <r>
      <rPr>
        <sz val="10"/>
        <rFont val="細明體"/>
        <family val="3"/>
        <charset val="136"/>
      </rPr>
      <t>所</t>
    </r>
    <r>
      <rPr>
        <sz val="10"/>
        <rFont val="Times New Roman"/>
        <family val="1"/>
      </rPr>
      <t>)</t>
    </r>
    <r>
      <rPr>
        <sz val="10"/>
        <rFont val="細明體"/>
        <family val="3"/>
        <charset val="136"/>
      </rPr>
      <t>之教育目標：</t>
    </r>
    <phoneticPr fontId="1" type="noConversion"/>
  </si>
  <si>
    <r>
      <rPr>
        <sz val="10"/>
        <rFont val="新細明體"/>
        <family val="1"/>
        <charset val="136"/>
      </rPr>
      <t>（七）系</t>
    </r>
    <r>
      <rPr>
        <sz val="10"/>
        <rFont val="Times New Roman"/>
        <family val="1"/>
      </rPr>
      <t>(</t>
    </r>
    <r>
      <rPr>
        <sz val="10"/>
        <rFont val="新細明體"/>
        <family val="1"/>
        <charset val="136"/>
      </rPr>
      <t>所</t>
    </r>
    <r>
      <rPr>
        <sz val="10"/>
        <rFont val="Times New Roman"/>
        <family val="1"/>
      </rPr>
      <t>)</t>
    </r>
    <r>
      <rPr>
        <sz val="10"/>
        <rFont val="新細明體"/>
        <family val="1"/>
        <charset val="136"/>
      </rPr>
      <t>上提供充分的教學資源</t>
    </r>
    <r>
      <rPr>
        <sz val="10"/>
        <rFont val="Times New Roman"/>
        <family val="1"/>
      </rPr>
      <t>(</t>
    </r>
    <r>
      <rPr>
        <sz val="10"/>
        <rFont val="新細明體"/>
        <family val="1"/>
        <charset val="136"/>
      </rPr>
      <t>如經費、學習空間、行政支援等</t>
    </r>
    <r>
      <rPr>
        <sz val="10"/>
        <rFont val="Times New Roman"/>
        <family val="1"/>
      </rPr>
      <t>)</t>
    </r>
    <r>
      <rPr>
        <sz val="10"/>
        <rFont val="新細明體"/>
        <family val="1"/>
        <charset val="136"/>
      </rPr>
      <t>，來促進學生有效的專業學習。</t>
    </r>
    <phoneticPr fontId="2" type="noConversion"/>
  </si>
  <si>
    <r>
      <rPr>
        <sz val="10"/>
        <rFont val="新細明體"/>
        <family val="1"/>
        <charset val="136"/>
      </rPr>
      <t>（八）系</t>
    </r>
    <r>
      <rPr>
        <sz val="10"/>
        <rFont val="Times New Roman"/>
        <family val="1"/>
      </rPr>
      <t>(</t>
    </r>
    <r>
      <rPr>
        <sz val="10"/>
        <rFont val="新細明體"/>
        <family val="1"/>
        <charset val="136"/>
      </rPr>
      <t>所</t>
    </r>
    <r>
      <rPr>
        <sz val="10"/>
        <rFont val="Times New Roman"/>
        <family val="1"/>
      </rPr>
      <t>)</t>
    </r>
    <r>
      <rPr>
        <sz val="10"/>
        <rFont val="新細明體"/>
        <family val="1"/>
        <charset val="136"/>
      </rPr>
      <t>上積極規劃與辦理提升學生專業學習之活動（如認識自我、校外參訪、生涯規劃、就業願景教材製作、實務體驗、學生成果發表與學術主題競賽等活動），來促進學生有效學習。</t>
    </r>
    <phoneticPr fontId="2" type="noConversion"/>
  </si>
  <si>
    <r>
      <rPr>
        <sz val="10"/>
        <rFont val="新細明體"/>
        <family val="1"/>
        <charset val="136"/>
      </rPr>
      <t>（九）我給系</t>
    </r>
    <r>
      <rPr>
        <sz val="10"/>
        <rFont val="Times New Roman"/>
        <family val="1"/>
      </rPr>
      <t>(</t>
    </r>
    <r>
      <rPr>
        <sz val="10"/>
        <rFont val="新細明體"/>
        <family val="1"/>
        <charset val="136"/>
      </rPr>
      <t>所</t>
    </r>
    <r>
      <rPr>
        <sz val="10"/>
        <rFont val="Times New Roman"/>
        <family val="1"/>
      </rPr>
      <t>)</t>
    </r>
    <r>
      <rPr>
        <sz val="10"/>
        <rFont val="新細明體"/>
        <family val="1"/>
        <charset val="136"/>
      </rPr>
      <t>上的建議是：</t>
    </r>
    <phoneticPr fontId="2" type="noConversion"/>
  </si>
  <si>
    <r>
      <rPr>
        <sz val="10"/>
        <rFont val="新細明體"/>
        <family val="1"/>
        <charset val="136"/>
      </rPr>
      <t>（十）</t>
    </r>
    <r>
      <rPr>
        <sz val="10"/>
        <rFont val="Times New Roman"/>
        <family val="1"/>
      </rPr>
      <t>1.</t>
    </r>
    <r>
      <rPr>
        <sz val="10"/>
        <rFont val="新細明體"/>
        <family val="1"/>
        <charset val="136"/>
      </rPr>
      <t>我延畢的主要原因是（未延畢者請填</t>
    </r>
    <r>
      <rPr>
        <sz val="10"/>
        <rFont val="Times New Roman"/>
        <family val="1"/>
      </rPr>
      <t>“</t>
    </r>
    <r>
      <rPr>
        <sz val="10"/>
        <rFont val="新細明體"/>
        <family val="1"/>
        <charset val="136"/>
      </rPr>
      <t>無＂）：</t>
    </r>
    <phoneticPr fontId="2" type="noConversion"/>
  </si>
  <si>
    <r>
      <rPr>
        <sz val="10"/>
        <rFont val="新細明體"/>
        <family val="1"/>
        <charset val="136"/>
      </rPr>
      <t>（十）</t>
    </r>
    <r>
      <rPr>
        <sz val="10"/>
        <rFont val="Times New Roman"/>
        <family val="1"/>
      </rPr>
      <t>2.</t>
    </r>
    <r>
      <rPr>
        <sz val="10"/>
        <rFont val="新細明體"/>
        <family val="1"/>
        <charset val="136"/>
      </rPr>
      <t>若於前一題勾選「其他」選項，請簡述原因：</t>
    </r>
    <phoneticPr fontId="2" type="noConversion"/>
  </si>
  <si>
    <r>
      <rPr>
        <sz val="10"/>
        <rFont val="新細明體"/>
        <family val="1"/>
        <charset val="136"/>
      </rPr>
      <t>（六）系</t>
    </r>
    <r>
      <rPr>
        <sz val="10"/>
        <rFont val="Times New Roman"/>
        <family val="1"/>
      </rPr>
      <t>(</t>
    </r>
    <r>
      <rPr>
        <sz val="10"/>
        <rFont val="新細明體"/>
        <family val="1"/>
        <charset val="136"/>
      </rPr>
      <t>所</t>
    </r>
    <r>
      <rPr>
        <sz val="10"/>
        <rFont val="Times New Roman"/>
        <family val="1"/>
      </rPr>
      <t>)</t>
    </r>
    <r>
      <rPr>
        <sz val="10"/>
        <rFont val="新細明體"/>
        <family val="1"/>
        <charset val="136"/>
      </rPr>
      <t>上規劃與設計之整體課程，有利於學生的專業學習。</t>
    </r>
    <phoneticPr fontId="2" type="noConversion"/>
  </si>
  <si>
    <r>
      <rPr>
        <sz val="10"/>
        <rFont val="新細明體"/>
        <family val="1"/>
        <charset val="136"/>
      </rPr>
      <t>學年</t>
    </r>
  </si>
  <si>
    <r>
      <rPr>
        <sz val="10"/>
        <rFont val="新細明體"/>
        <family val="1"/>
        <charset val="136"/>
      </rPr>
      <t>學期</t>
    </r>
  </si>
  <si>
    <r>
      <rPr>
        <sz val="10"/>
        <rFont val="新細明體"/>
        <family val="1"/>
        <charset val="136"/>
      </rPr>
      <t>備註</t>
    </r>
  </si>
  <si>
    <r>
      <rPr>
        <sz val="10"/>
        <rFont val="新細明體"/>
        <family val="1"/>
        <charset val="136"/>
      </rPr>
      <t>權重</t>
    </r>
  </si>
  <si>
    <r>
      <rPr>
        <sz val="10"/>
        <rFont val="新細明體"/>
        <family val="1"/>
        <charset val="136"/>
      </rPr>
      <t>欄位序號</t>
    </r>
  </si>
  <si>
    <r>
      <rPr>
        <sz val="10"/>
        <rFont val="新細明體"/>
        <family val="1"/>
        <charset val="136"/>
      </rPr>
      <t>（一）您已達成學校之教育目標：</t>
    </r>
    <phoneticPr fontId="1" type="noConversion"/>
  </si>
  <si>
    <r>
      <t>1.</t>
    </r>
    <r>
      <rPr>
        <sz val="10"/>
        <rFont val="新細明體"/>
        <family val="1"/>
        <charset val="136"/>
      </rPr>
      <t>培養術德兼具。</t>
    </r>
  </si>
  <si>
    <r>
      <t>2.</t>
    </r>
    <r>
      <rPr>
        <sz val="10"/>
        <rFont val="新細明體"/>
        <family val="1"/>
        <charset val="136"/>
      </rPr>
      <t>具有創意思維及國際觀。</t>
    </r>
  </si>
  <si>
    <r>
      <t>3.</t>
    </r>
    <r>
      <rPr>
        <sz val="10"/>
        <rFont val="新細明體"/>
        <family val="1"/>
        <charset val="136"/>
      </rPr>
      <t>符合時代所需之尖端工程人才。</t>
    </r>
  </si>
  <si>
    <r>
      <rPr>
        <sz val="10"/>
        <rFont val="細明體"/>
        <family val="3"/>
        <charset val="136"/>
      </rPr>
      <t>（四）您已達成全校學生基本素養與核心能力：</t>
    </r>
    <phoneticPr fontId="1" type="noConversion"/>
  </si>
  <si>
    <r>
      <t>1.</t>
    </r>
    <r>
      <rPr>
        <sz val="10"/>
        <rFont val="新細明體"/>
        <family val="1"/>
        <charset val="136"/>
      </rPr>
      <t>表達與溝通能力。</t>
    </r>
  </si>
  <si>
    <r>
      <t>2.</t>
    </r>
    <r>
      <rPr>
        <sz val="10"/>
        <rFont val="新細明體"/>
        <family val="1"/>
        <charset val="136"/>
      </rPr>
      <t>探究與批判思考能力。</t>
    </r>
  </si>
  <si>
    <r>
      <t>3.</t>
    </r>
    <r>
      <rPr>
        <sz val="10"/>
        <rFont val="新細明體"/>
        <family val="1"/>
        <charset val="136"/>
      </rPr>
      <t>終身學習能力。</t>
    </r>
  </si>
  <si>
    <r>
      <t>5.</t>
    </r>
    <r>
      <rPr>
        <sz val="10"/>
        <rFont val="新細明體"/>
        <family val="1"/>
        <charset val="136"/>
      </rPr>
      <t>美感品味。</t>
    </r>
    <phoneticPr fontId="2" type="noConversion"/>
  </si>
  <si>
    <r>
      <t>7.</t>
    </r>
    <r>
      <rPr>
        <sz val="10"/>
        <rFont val="新細明體"/>
        <family val="1"/>
        <charset val="136"/>
      </rPr>
      <t>全球視野。</t>
    </r>
    <phoneticPr fontId="2" type="noConversion"/>
  </si>
  <si>
    <r>
      <t>8.</t>
    </r>
    <r>
      <rPr>
        <sz val="10"/>
        <rFont val="新細明體"/>
        <family val="1"/>
        <charset val="136"/>
      </rPr>
      <t>合作與領導能力。</t>
    </r>
    <phoneticPr fontId="2" type="noConversion"/>
  </si>
  <si>
    <r>
      <t>9.</t>
    </r>
    <r>
      <rPr>
        <sz val="10"/>
        <rFont val="新細明體"/>
        <family val="1"/>
        <charset val="136"/>
      </rPr>
      <t>山海胸襟與自然情懷。</t>
    </r>
  </si>
  <si>
    <r>
      <t>1.</t>
    </r>
    <r>
      <rPr>
        <sz val="10"/>
        <rFont val="新細明體"/>
        <family val="1"/>
        <charset val="136"/>
      </rPr>
      <t>學識理論：透過基礎及專業課程之開授，培養學生在電機領域之相關理論知識。</t>
    </r>
    <r>
      <rPr>
        <sz val="10"/>
        <rFont val="Times New Roman"/>
        <family val="1"/>
      </rPr>
      <t xml:space="preserve"> </t>
    </r>
  </si>
  <si>
    <r>
      <t>2.</t>
    </r>
    <r>
      <rPr>
        <sz val="10"/>
        <rFont val="新細明體"/>
        <family val="1"/>
        <charset val="136"/>
      </rPr>
      <t>專業技術：藉由實驗、實習及專題課程之開授，訓練學生在電機實務應用之技能。</t>
    </r>
    <r>
      <rPr>
        <sz val="10"/>
        <rFont val="Times New Roman"/>
        <family val="1"/>
      </rPr>
      <t xml:space="preserve"> </t>
    </r>
  </si>
  <si>
    <r>
      <t>3.</t>
    </r>
    <r>
      <rPr>
        <sz val="10"/>
        <rFont val="新細明體"/>
        <family val="1"/>
        <charset val="136"/>
      </rPr>
      <t>團隊精神與工程倫理：配合學校通識課程之開授以及導師制度之實施，輔導學生在進行工程專案（包含實驗、實習及專題課程）時重視團隊合作精神與工程倫理。</t>
    </r>
    <r>
      <rPr>
        <sz val="10"/>
        <rFont val="Times New Roman"/>
        <family val="1"/>
      </rPr>
      <t xml:space="preserve"> </t>
    </r>
  </si>
  <si>
    <r>
      <t>4.</t>
    </r>
    <r>
      <rPr>
        <sz val="10"/>
        <rFont val="新細明體"/>
        <family val="1"/>
        <charset val="136"/>
      </rPr>
      <t>獨立思考與創新：藉由各項課程內容之規劃，啟發學生之潛能、培養獨立思考與研究創新之能力。</t>
    </r>
    <phoneticPr fontId="2" type="noConversion"/>
  </si>
  <si>
    <r>
      <t>1.</t>
    </r>
    <r>
      <rPr>
        <sz val="10"/>
        <rFont val="新細明體"/>
        <family val="1"/>
        <charset val="136"/>
      </rPr>
      <t>學識理論：透過前瞻性專業課程之開授，培養研究生在電機領域之相關理論知識。</t>
    </r>
    <r>
      <rPr>
        <sz val="10"/>
        <rFont val="Times New Roman"/>
        <family val="1"/>
      </rPr>
      <t xml:space="preserve"> </t>
    </r>
  </si>
  <si>
    <r>
      <t>2.</t>
    </r>
    <r>
      <rPr>
        <sz val="10"/>
        <rFont val="新細明體"/>
        <family val="1"/>
        <charset val="136"/>
      </rPr>
      <t>專業技術：藉由專題課程之開授、研究計畫參與及論文寫作，培養研究生在電機實務應用之素養與技能。</t>
    </r>
    <r>
      <rPr>
        <sz val="10"/>
        <rFont val="Times New Roman"/>
        <family val="1"/>
      </rPr>
      <t xml:space="preserve"> </t>
    </r>
  </si>
  <si>
    <r>
      <t>3.</t>
    </r>
    <r>
      <rPr>
        <sz val="10"/>
        <rFont val="新細明體"/>
        <family val="1"/>
        <charset val="136"/>
      </rPr>
      <t>團隊精神與工程倫理：配合書報討論之實施及指導教授之專題討論，輔導研究生在進行學術研究時重視團隊合作精神與學術倫理，並培養領導統御能力。</t>
    </r>
    <r>
      <rPr>
        <sz val="10"/>
        <rFont val="Times New Roman"/>
        <family val="1"/>
      </rPr>
      <t xml:space="preserve"> </t>
    </r>
  </si>
  <si>
    <r>
      <t>4.</t>
    </r>
    <r>
      <rPr>
        <sz val="10"/>
        <rFont val="新細明體"/>
        <family val="1"/>
        <charset val="136"/>
      </rPr>
      <t>獨立思考與研究創新：藉由各項進階課程及專題研究之規劃，啟發研究生之潛能、培養獨立思考與研究創新之能力。</t>
    </r>
    <r>
      <rPr>
        <sz val="10"/>
        <rFont val="Times New Roman"/>
        <family val="1"/>
      </rPr>
      <t xml:space="preserve"> </t>
    </r>
  </si>
  <si>
    <r>
      <rPr>
        <sz val="10"/>
        <rFont val="新細明體"/>
        <family val="1"/>
        <charset val="136"/>
      </rPr>
      <t>中文指標</t>
    </r>
    <phoneticPr fontId="2" type="noConversion"/>
  </si>
  <si>
    <r>
      <rPr>
        <sz val="10"/>
        <rFont val="新細明體"/>
        <family val="1"/>
        <charset val="136"/>
      </rPr>
      <t>（二）您已達成院之教育目標：</t>
    </r>
    <phoneticPr fontId="1" type="noConversion"/>
  </si>
  <si>
    <r>
      <t>4.</t>
    </r>
    <r>
      <rPr>
        <sz val="10"/>
        <rFont val="新細明體"/>
        <family val="1"/>
        <charset val="136"/>
      </rPr>
      <t>倫理與社會責任。</t>
    </r>
    <phoneticPr fontId="2" type="noConversion"/>
  </si>
  <si>
    <r>
      <t>5.</t>
    </r>
    <r>
      <rPr>
        <sz val="10"/>
        <rFont val="新細明體"/>
        <family val="1"/>
        <charset val="136"/>
      </rPr>
      <t>美感品味。</t>
    </r>
    <phoneticPr fontId="2" type="noConversion"/>
  </si>
  <si>
    <r>
      <t>6.</t>
    </r>
    <r>
      <rPr>
        <sz val="10"/>
        <rFont val="新細明體"/>
        <family val="1"/>
        <charset val="136"/>
      </rPr>
      <t>創造力。</t>
    </r>
    <phoneticPr fontId="2" type="noConversion"/>
  </si>
  <si>
    <r>
      <t>7.</t>
    </r>
    <r>
      <rPr>
        <sz val="10"/>
        <rFont val="新細明體"/>
        <family val="1"/>
        <charset val="136"/>
      </rPr>
      <t>全球視野。</t>
    </r>
    <phoneticPr fontId="2" type="noConversion"/>
  </si>
  <si>
    <r>
      <t>8.</t>
    </r>
    <r>
      <rPr>
        <sz val="10"/>
        <rFont val="新細明體"/>
        <family val="1"/>
        <charset val="136"/>
      </rPr>
      <t>合作與領導能力。</t>
    </r>
    <phoneticPr fontId="2" type="noConversion"/>
  </si>
  <si>
    <r>
      <rPr>
        <sz val="10"/>
        <rFont val="細明體"/>
        <family val="3"/>
        <charset val="136"/>
      </rPr>
      <t>（五）您已達成系</t>
    </r>
    <r>
      <rPr>
        <sz val="10"/>
        <rFont val="Times New Roman"/>
        <family val="1"/>
      </rPr>
      <t>(</t>
    </r>
    <r>
      <rPr>
        <sz val="10"/>
        <rFont val="細明體"/>
        <family val="3"/>
        <charset val="136"/>
      </rPr>
      <t>所</t>
    </r>
    <r>
      <rPr>
        <sz val="10"/>
        <rFont val="Times New Roman"/>
        <family val="1"/>
      </rPr>
      <t>)</t>
    </r>
    <r>
      <rPr>
        <sz val="10"/>
        <rFont val="細明體"/>
        <family val="3"/>
        <charset val="136"/>
      </rPr>
      <t>學生專業能力：</t>
    </r>
    <phoneticPr fontId="1" type="noConversion"/>
  </si>
  <si>
    <r>
      <rPr>
        <sz val="10"/>
        <rFont val="新細明體"/>
        <family val="1"/>
        <charset val="136"/>
      </rPr>
      <t>（六）系</t>
    </r>
    <r>
      <rPr>
        <sz val="10"/>
        <rFont val="Times New Roman"/>
        <family val="1"/>
      </rPr>
      <t>(</t>
    </r>
    <r>
      <rPr>
        <sz val="10"/>
        <rFont val="新細明體"/>
        <family val="1"/>
        <charset val="136"/>
      </rPr>
      <t>所</t>
    </r>
    <r>
      <rPr>
        <sz val="10"/>
        <rFont val="Times New Roman"/>
        <family val="1"/>
      </rPr>
      <t>)</t>
    </r>
    <r>
      <rPr>
        <sz val="10"/>
        <rFont val="新細明體"/>
        <family val="1"/>
        <charset val="136"/>
      </rPr>
      <t>上規劃與設計之整體課程，有利於學生的專業學習。</t>
    </r>
    <phoneticPr fontId="2" type="noConversion"/>
  </si>
  <si>
    <r>
      <rPr>
        <sz val="10"/>
        <rFont val="細明體"/>
        <family val="3"/>
        <charset val="136"/>
      </rPr>
      <t>（四）您已達成全校學生基本素養與核心能力：</t>
    </r>
    <phoneticPr fontId="1" type="noConversion"/>
  </si>
  <si>
    <r>
      <t>5.</t>
    </r>
    <r>
      <rPr>
        <sz val="10"/>
        <rFont val="新細明體"/>
        <family val="1"/>
        <charset val="136"/>
      </rPr>
      <t>國際視野：經由交換學生、教師互訪、課程安排、學位授予等學術交流活動之進行，擴大本系學生之視野，推動國際化。</t>
    </r>
    <r>
      <rPr>
        <sz val="10"/>
        <rFont val="Times New Roman"/>
        <family val="1"/>
      </rPr>
      <t> </t>
    </r>
    <phoneticPr fontId="2" type="noConversion"/>
  </si>
  <si>
    <r>
      <rPr>
        <sz val="10"/>
        <rFont val="新細明體"/>
        <family val="1"/>
        <charset val="136"/>
      </rPr>
      <t>（九）我給系</t>
    </r>
    <r>
      <rPr>
        <sz val="10"/>
        <rFont val="Times New Roman"/>
        <family val="1"/>
      </rPr>
      <t>(</t>
    </r>
    <r>
      <rPr>
        <sz val="10"/>
        <rFont val="新細明體"/>
        <family val="1"/>
        <charset val="136"/>
      </rPr>
      <t>所</t>
    </r>
    <r>
      <rPr>
        <sz val="10"/>
        <rFont val="Times New Roman"/>
        <family val="1"/>
      </rPr>
      <t>)</t>
    </r>
    <r>
      <rPr>
        <sz val="10"/>
        <rFont val="新細明體"/>
        <family val="1"/>
        <charset val="136"/>
      </rPr>
      <t>上的建議是：</t>
    </r>
    <phoneticPr fontId="2" type="noConversion"/>
  </si>
  <si>
    <r>
      <rPr>
        <sz val="10"/>
        <rFont val="新細明體"/>
        <family val="1"/>
        <charset val="136"/>
      </rPr>
      <t>（十）</t>
    </r>
    <r>
      <rPr>
        <sz val="10"/>
        <rFont val="Times New Roman"/>
        <family val="1"/>
      </rPr>
      <t>1.</t>
    </r>
    <r>
      <rPr>
        <sz val="10"/>
        <rFont val="新細明體"/>
        <family val="1"/>
        <charset val="136"/>
      </rPr>
      <t>我延畢的主要原因是（未延畢者請填</t>
    </r>
    <r>
      <rPr>
        <sz val="10"/>
        <rFont val="Times New Roman"/>
        <family val="1"/>
      </rPr>
      <t>“</t>
    </r>
    <r>
      <rPr>
        <sz val="10"/>
        <rFont val="新細明體"/>
        <family val="1"/>
        <charset val="136"/>
      </rPr>
      <t>無＂）：</t>
    </r>
    <phoneticPr fontId="2" type="noConversion"/>
  </si>
  <si>
    <r>
      <rPr>
        <sz val="10"/>
        <rFont val="新細明體"/>
        <family val="1"/>
        <charset val="136"/>
      </rPr>
      <t>（七）系</t>
    </r>
    <r>
      <rPr>
        <sz val="10"/>
        <rFont val="Times New Roman"/>
        <family val="1"/>
      </rPr>
      <t>(</t>
    </r>
    <r>
      <rPr>
        <sz val="10"/>
        <rFont val="新細明體"/>
        <family val="1"/>
        <charset val="136"/>
      </rPr>
      <t>所</t>
    </r>
    <r>
      <rPr>
        <sz val="10"/>
        <rFont val="Times New Roman"/>
        <family val="1"/>
      </rPr>
      <t>)</t>
    </r>
    <r>
      <rPr>
        <sz val="10"/>
        <rFont val="新細明體"/>
        <family val="1"/>
        <charset val="136"/>
      </rPr>
      <t>上提供充分的教學資源</t>
    </r>
    <r>
      <rPr>
        <sz val="10"/>
        <rFont val="Times New Roman"/>
        <family val="1"/>
      </rPr>
      <t>(</t>
    </r>
    <r>
      <rPr>
        <sz val="10"/>
        <rFont val="新細明體"/>
        <family val="1"/>
        <charset val="136"/>
      </rPr>
      <t>如經費、學習空間、行政支援等</t>
    </r>
    <r>
      <rPr>
        <sz val="10"/>
        <rFont val="Times New Roman"/>
        <family val="1"/>
      </rPr>
      <t>)</t>
    </r>
    <r>
      <rPr>
        <sz val="10"/>
        <rFont val="新細明體"/>
        <family val="1"/>
        <charset val="136"/>
      </rPr>
      <t>，來促進學生有效的專業學習。</t>
    </r>
    <phoneticPr fontId="2" type="noConversion"/>
  </si>
  <si>
    <r>
      <rPr>
        <sz val="10"/>
        <rFont val="新細明體"/>
        <family val="1"/>
        <charset val="136"/>
      </rPr>
      <t>（八）系</t>
    </r>
    <r>
      <rPr>
        <sz val="10"/>
        <rFont val="Times New Roman"/>
        <family val="1"/>
      </rPr>
      <t>(</t>
    </r>
    <r>
      <rPr>
        <sz val="10"/>
        <rFont val="新細明體"/>
        <family val="1"/>
        <charset val="136"/>
      </rPr>
      <t>所</t>
    </r>
    <r>
      <rPr>
        <sz val="10"/>
        <rFont val="Times New Roman"/>
        <family val="1"/>
      </rPr>
      <t>)</t>
    </r>
    <r>
      <rPr>
        <sz val="10"/>
        <rFont val="新細明體"/>
        <family val="1"/>
        <charset val="136"/>
      </rPr>
      <t>上積極規劃與辦理提升學生專業學習之活動（如認識自我、校外參訪、生涯規劃、就業願景教材製作、實務體驗、學生成果發表與學術主題競賽等活動），來促進學生有效學習。</t>
    </r>
    <phoneticPr fontId="2" type="noConversion"/>
  </si>
  <si>
    <r>
      <rPr>
        <sz val="10"/>
        <rFont val="新細明體"/>
        <family val="1"/>
        <charset val="136"/>
      </rPr>
      <t>（十）</t>
    </r>
    <r>
      <rPr>
        <sz val="10"/>
        <rFont val="Times New Roman"/>
        <family val="1"/>
      </rPr>
      <t>2.</t>
    </r>
    <r>
      <rPr>
        <sz val="10"/>
        <rFont val="新細明體"/>
        <family val="1"/>
        <charset val="136"/>
      </rPr>
      <t>若於前一題勾選「其他」選項，請簡述原因：</t>
    </r>
    <phoneticPr fontId="2" type="noConversion"/>
  </si>
  <si>
    <r>
      <rPr>
        <sz val="10"/>
        <rFont val="細明體"/>
        <family val="3"/>
        <charset val="136"/>
      </rPr>
      <t>（三）您已達成系</t>
    </r>
    <r>
      <rPr>
        <sz val="10"/>
        <rFont val="Times New Roman"/>
        <family val="1"/>
      </rPr>
      <t>(</t>
    </r>
    <r>
      <rPr>
        <sz val="10"/>
        <rFont val="細明體"/>
        <family val="3"/>
        <charset val="136"/>
      </rPr>
      <t>所</t>
    </r>
    <r>
      <rPr>
        <sz val="10"/>
        <rFont val="Times New Roman"/>
        <family val="1"/>
      </rPr>
      <t>)</t>
    </r>
    <r>
      <rPr>
        <sz val="10"/>
        <rFont val="細明體"/>
        <family val="3"/>
        <charset val="136"/>
      </rPr>
      <t>之教育目標：</t>
    </r>
    <phoneticPr fontId="1" type="noConversion"/>
  </si>
  <si>
    <r>
      <t>5.</t>
    </r>
    <r>
      <rPr>
        <sz val="10"/>
        <rFont val="新細明體"/>
        <family val="1"/>
        <charset val="136"/>
      </rPr>
      <t>國際視野與競爭力：經由交換學生、教師互訪、英文課程安排、參與或舉辦國際會議等學術交流活動之進行，擴大本系研究生之視野，推動國際化。</t>
    </r>
    <r>
      <rPr>
        <sz val="10"/>
        <rFont val="Times New Roman"/>
        <family val="1"/>
      </rPr>
      <t xml:space="preserve">  </t>
    </r>
    <phoneticPr fontId="2" type="noConversion"/>
  </si>
  <si>
    <r>
      <t>8.</t>
    </r>
    <r>
      <rPr>
        <sz val="10"/>
        <rFont val="新細明體"/>
        <family val="1"/>
        <charset val="136"/>
      </rPr>
      <t>合作與領導能力。</t>
    </r>
    <phoneticPr fontId="2" type="noConversion"/>
  </si>
  <si>
    <r>
      <t>5.</t>
    </r>
    <r>
      <rPr>
        <sz val="10"/>
        <rFont val="新細明體"/>
        <family val="1"/>
        <charset val="136"/>
      </rPr>
      <t>國際視野與競爭力：經由交換學生、教師互訪、英文課程安排、參與或舉辦國際會議等學術交流活動之進行，擴大本系研究生之視野，推動國際化。</t>
    </r>
    <phoneticPr fontId="2" type="noConversion"/>
  </si>
  <si>
    <t>說明：「總結性課程」係指於學生畢業前實施之課程，透過實作導向與整合性的學習經驗，讓學生統整大學所學、展現學習成效、提升核心能力。</t>
    <phoneticPr fontId="1" type="noConversion"/>
  </si>
  <si>
    <r>
      <rPr>
        <sz val="10"/>
        <rFont val="細明體"/>
        <family val="3"/>
        <charset val="136"/>
      </rPr>
      <t>（十一）</t>
    </r>
    <r>
      <rPr>
        <sz val="10"/>
        <rFont val="Times New Roman"/>
        <family val="1"/>
      </rPr>
      <t>2.</t>
    </r>
    <r>
      <rPr>
        <sz val="10"/>
        <rFont val="細明體"/>
        <family val="3"/>
        <charset val="136"/>
      </rPr>
      <t>系</t>
    </r>
    <r>
      <rPr>
        <sz val="10"/>
        <rFont val="Times New Roman"/>
        <family val="1"/>
      </rPr>
      <t>(</t>
    </r>
    <r>
      <rPr>
        <sz val="10"/>
        <rFont val="細明體"/>
        <family val="3"/>
        <charset val="136"/>
      </rPr>
      <t>所</t>
    </r>
    <r>
      <rPr>
        <sz val="10"/>
        <rFont val="Times New Roman"/>
        <family val="1"/>
      </rPr>
      <t>)</t>
    </r>
    <r>
      <rPr>
        <sz val="10"/>
        <rFont val="細明體"/>
        <family val="3"/>
        <charset val="136"/>
      </rPr>
      <t>上規劃與設計之總結性課程有利於學生檢視專業能力學習成效並提升實務能力。</t>
    </r>
    <r>
      <rPr>
        <sz val="10"/>
        <rFont val="Times New Roman"/>
        <family val="1"/>
      </rPr>
      <t>(</t>
    </r>
    <r>
      <rPr>
        <sz val="10"/>
        <rFont val="細明體"/>
        <family val="3"/>
        <charset val="136"/>
      </rPr>
      <t>無總結性課程者免填</t>
    </r>
    <r>
      <rPr>
        <sz val="10"/>
        <rFont val="Times New Roman"/>
        <family val="1"/>
      </rPr>
      <t>)</t>
    </r>
    <phoneticPr fontId="1" type="noConversion"/>
  </si>
  <si>
    <r>
      <rPr>
        <sz val="10"/>
        <rFont val="新細明體"/>
        <family val="1"/>
        <charset val="136"/>
      </rPr>
      <t>（十一）</t>
    </r>
    <r>
      <rPr>
        <sz val="10"/>
        <rFont val="Times New Roman"/>
        <family val="1"/>
      </rPr>
      <t>3.</t>
    </r>
    <r>
      <rPr>
        <sz val="10"/>
        <rFont val="新細明體"/>
        <family val="1"/>
        <charset val="136"/>
      </rPr>
      <t>學系總結性課程規劃及執行可如何進行改善？</t>
    </r>
    <r>
      <rPr>
        <sz val="10"/>
        <rFont val="Times New Roman"/>
        <family val="1"/>
      </rPr>
      <t>(</t>
    </r>
    <r>
      <rPr>
        <sz val="10"/>
        <rFont val="新細明體"/>
        <family val="1"/>
        <charset val="136"/>
      </rPr>
      <t>無總結性課程者免填</t>
    </r>
    <r>
      <rPr>
        <sz val="10"/>
        <rFont val="Times New Roman"/>
        <family val="1"/>
      </rPr>
      <t>)</t>
    </r>
    <phoneticPr fontId="2" type="noConversion"/>
  </si>
  <si>
    <t>0</t>
    <phoneticPr fontId="1" type="noConversion"/>
  </si>
  <si>
    <t>40</t>
    <phoneticPr fontId="1" type="noConversion"/>
  </si>
  <si>
    <t>0</t>
    <phoneticPr fontId="1" type="noConversion"/>
  </si>
  <si>
    <t>37</t>
    <phoneticPr fontId="1" type="noConversion"/>
  </si>
  <si>
    <t>39</t>
    <phoneticPr fontId="1" type="noConversion"/>
  </si>
  <si>
    <t>35</t>
    <phoneticPr fontId="1" type="noConversion"/>
  </si>
  <si>
    <r>
      <rPr>
        <sz val="10"/>
        <rFont val="細明體"/>
        <family val="3"/>
        <charset val="136"/>
      </rPr>
      <t>（十四）透過課程</t>
    </r>
    <r>
      <rPr>
        <sz val="10"/>
        <rFont val="Times New Roman"/>
        <family val="1"/>
      </rPr>
      <t>(</t>
    </r>
    <r>
      <rPr>
        <sz val="10"/>
        <rFont val="細明體"/>
        <family val="3"/>
        <charset val="136"/>
      </rPr>
      <t>活動</t>
    </r>
    <r>
      <rPr>
        <sz val="10"/>
        <rFont val="Times New Roman"/>
        <family val="1"/>
      </rPr>
      <t>)</t>
    </r>
    <r>
      <rPr>
        <sz val="10"/>
        <rFont val="細明體"/>
        <family val="3"/>
        <charset val="136"/>
      </rPr>
      <t>等創新教學機制，可有效提升我</t>
    </r>
    <r>
      <rPr>
        <sz val="10"/>
        <rFont val="Times New Roman"/>
        <family val="1"/>
      </rPr>
      <t>…(</t>
    </r>
    <r>
      <rPr>
        <sz val="10"/>
        <rFont val="細明體"/>
        <family val="3"/>
        <charset val="136"/>
      </rPr>
      <t>多選</t>
    </r>
    <r>
      <rPr>
        <sz val="10"/>
        <rFont val="Times New Roman"/>
        <family val="1"/>
      </rPr>
      <t>)</t>
    </r>
    <r>
      <rPr>
        <sz val="10"/>
        <rFont val="細明體"/>
        <family val="3"/>
        <charset val="136"/>
      </rPr>
      <t>：</t>
    </r>
    <phoneticPr fontId="1" type="noConversion"/>
  </si>
  <si>
    <t>35</t>
    <phoneticPr fontId="1" type="noConversion"/>
  </si>
  <si>
    <t>說明：「總結性課程」係指於學生畢業前實施之課程，透過實作導向與整合性的學習經驗，讓學生統整大學所學、展現學習成效、提升核心能力。</t>
    <phoneticPr fontId="1" type="noConversion"/>
  </si>
  <si>
    <t>（十二）在學期間，您是否有參與下列跨領域創新教學機制(多選)？</t>
    <phoneticPr fontId="1" type="noConversion"/>
  </si>
  <si>
    <r>
      <rPr>
        <sz val="10"/>
        <rFont val="細明體"/>
        <family val="3"/>
        <charset val="136"/>
      </rPr>
      <t>（十一）</t>
    </r>
    <r>
      <rPr>
        <sz val="10"/>
        <rFont val="Times New Roman"/>
        <family val="1"/>
      </rPr>
      <t>1.</t>
    </r>
    <r>
      <rPr>
        <sz val="10"/>
        <rFont val="細明體"/>
        <family val="3"/>
        <charset val="136"/>
      </rPr>
      <t>系</t>
    </r>
    <r>
      <rPr>
        <sz val="10"/>
        <rFont val="Times New Roman"/>
        <family val="1"/>
      </rPr>
      <t>(</t>
    </r>
    <r>
      <rPr>
        <sz val="10"/>
        <rFont val="細明體"/>
        <family val="3"/>
        <charset val="136"/>
      </rPr>
      <t>所</t>
    </r>
    <r>
      <rPr>
        <sz val="10"/>
        <rFont val="Times New Roman"/>
        <family val="1"/>
      </rPr>
      <t>)</t>
    </r>
    <r>
      <rPr>
        <sz val="10"/>
        <rFont val="細明體"/>
        <family val="3"/>
        <charset val="136"/>
      </rPr>
      <t>上是否有規劃總結性課程</t>
    </r>
    <r>
      <rPr>
        <sz val="10"/>
        <rFont val="Times New Roman"/>
        <family val="1"/>
      </rPr>
      <t>(Capstone Course)</t>
    </r>
    <r>
      <rPr>
        <sz val="10"/>
        <rFont val="細明體"/>
        <family val="3"/>
        <charset val="136"/>
      </rPr>
      <t>（如：畢業製作、畢業專題等）。</t>
    </r>
    <phoneticPr fontId="1" type="noConversion"/>
  </si>
  <si>
    <t>0</t>
    <phoneticPr fontId="1" type="noConversion"/>
  </si>
  <si>
    <r>
      <rPr>
        <sz val="10"/>
        <rFont val="細明體"/>
        <family val="3"/>
        <charset val="136"/>
      </rPr>
      <t>（十一）</t>
    </r>
    <r>
      <rPr>
        <sz val="10"/>
        <rFont val="Times New Roman"/>
        <family val="1"/>
      </rPr>
      <t>2.</t>
    </r>
    <r>
      <rPr>
        <sz val="10"/>
        <rFont val="細明體"/>
        <family val="3"/>
        <charset val="136"/>
      </rPr>
      <t>系</t>
    </r>
    <r>
      <rPr>
        <sz val="10"/>
        <rFont val="Times New Roman"/>
        <family val="1"/>
      </rPr>
      <t>(</t>
    </r>
    <r>
      <rPr>
        <sz val="10"/>
        <rFont val="細明體"/>
        <family val="3"/>
        <charset val="136"/>
      </rPr>
      <t>所</t>
    </r>
    <r>
      <rPr>
        <sz val="10"/>
        <rFont val="Times New Roman"/>
        <family val="1"/>
      </rPr>
      <t>)</t>
    </r>
    <r>
      <rPr>
        <sz val="10"/>
        <rFont val="細明體"/>
        <family val="3"/>
        <charset val="136"/>
      </rPr>
      <t>上規劃與設計之總結性課程有利於學生檢視專業能力學習成效並提升實務能力。</t>
    </r>
    <r>
      <rPr>
        <sz val="10"/>
        <rFont val="Times New Roman"/>
        <family val="1"/>
      </rPr>
      <t>(</t>
    </r>
    <r>
      <rPr>
        <sz val="10"/>
        <rFont val="細明體"/>
        <family val="3"/>
        <charset val="136"/>
      </rPr>
      <t>無總結性課程者免填</t>
    </r>
    <r>
      <rPr>
        <sz val="10"/>
        <rFont val="Times New Roman"/>
        <family val="1"/>
      </rPr>
      <t>)</t>
    </r>
    <phoneticPr fontId="1" type="noConversion"/>
  </si>
  <si>
    <r>
      <rPr>
        <sz val="10"/>
        <rFont val="新細明體"/>
        <family val="1"/>
        <charset val="136"/>
      </rPr>
      <t>（十一）</t>
    </r>
    <r>
      <rPr>
        <sz val="10"/>
        <rFont val="Times New Roman"/>
        <family val="1"/>
      </rPr>
      <t>3.</t>
    </r>
    <r>
      <rPr>
        <sz val="10"/>
        <rFont val="新細明體"/>
        <family val="1"/>
        <charset val="136"/>
      </rPr>
      <t>學系總結性課程規劃及執行可如何進行改善？</t>
    </r>
    <r>
      <rPr>
        <sz val="10"/>
        <rFont val="Times New Roman"/>
        <family val="1"/>
      </rPr>
      <t>(</t>
    </r>
    <r>
      <rPr>
        <sz val="10"/>
        <rFont val="新細明體"/>
        <family val="1"/>
        <charset val="136"/>
      </rPr>
      <t>無總結性課程者免填</t>
    </r>
    <r>
      <rPr>
        <sz val="10"/>
        <rFont val="Times New Roman"/>
        <family val="1"/>
      </rPr>
      <t>)</t>
    </r>
    <phoneticPr fontId="2" type="noConversion"/>
  </si>
  <si>
    <t>OTHER3</t>
    <phoneticPr fontId="2" type="noConversion"/>
  </si>
  <si>
    <t>0</t>
    <phoneticPr fontId="1" type="noConversion"/>
  </si>
  <si>
    <t>說明：「共學實踐計畫」係指本校教師針對跨領域議題組成的師生共學與實踐團隊，透過專題研討與實作課程，促進師生共同參與各項社區實踐及國際合作方案，以培育學生批判思考、問題解決及統整融合知識等能力。</t>
    <phoneticPr fontId="1" type="noConversion"/>
  </si>
  <si>
    <t>（十三）我認為學校創新教學機制比傳統式教學更為生動活潑</t>
    <phoneticPr fontId="1" type="noConversion"/>
  </si>
  <si>
    <r>
      <rPr>
        <sz val="10"/>
        <rFont val="細明體"/>
        <family val="3"/>
        <charset val="136"/>
      </rPr>
      <t>（十五）對於本校教學創新機制是否有其他建議？</t>
    </r>
    <phoneticPr fontId="1" type="noConversion"/>
  </si>
  <si>
    <t>OTHER4</t>
    <phoneticPr fontId="1" type="noConversion"/>
  </si>
  <si>
    <t>37</t>
    <phoneticPr fontId="1" type="noConversion"/>
  </si>
  <si>
    <t>38</t>
    <phoneticPr fontId="1" type="noConversion"/>
  </si>
  <si>
    <t>36</t>
    <phoneticPr fontId="1" type="noConversion"/>
  </si>
  <si>
    <r>
      <rPr>
        <sz val="10"/>
        <rFont val="細明體"/>
        <family val="3"/>
        <charset val="136"/>
      </rPr>
      <t>（十一）</t>
    </r>
    <r>
      <rPr>
        <sz val="10"/>
        <rFont val="Times New Roman"/>
        <family val="1"/>
      </rPr>
      <t>1.</t>
    </r>
    <r>
      <rPr>
        <sz val="10"/>
        <rFont val="細明體"/>
        <family val="3"/>
        <charset val="136"/>
      </rPr>
      <t>系</t>
    </r>
    <r>
      <rPr>
        <sz val="10"/>
        <rFont val="Times New Roman"/>
        <family val="1"/>
      </rPr>
      <t>(</t>
    </r>
    <r>
      <rPr>
        <sz val="10"/>
        <rFont val="細明體"/>
        <family val="3"/>
        <charset val="136"/>
      </rPr>
      <t>所</t>
    </r>
    <r>
      <rPr>
        <sz val="10"/>
        <rFont val="Times New Roman"/>
        <family val="1"/>
      </rPr>
      <t>)</t>
    </r>
    <r>
      <rPr>
        <sz val="10"/>
        <rFont val="細明體"/>
        <family val="3"/>
        <charset val="136"/>
      </rPr>
      <t>上是否有規劃總結性課程</t>
    </r>
    <r>
      <rPr>
        <sz val="10"/>
        <rFont val="Times New Roman"/>
        <family val="1"/>
      </rPr>
      <t>(Capstone Course)</t>
    </r>
    <r>
      <rPr>
        <sz val="10"/>
        <rFont val="細明體"/>
        <family val="3"/>
        <charset val="136"/>
      </rPr>
      <t>（如：畢業製作、畢業專題等）。</t>
    </r>
    <phoneticPr fontId="1" type="noConversion"/>
  </si>
  <si>
    <t>說明：「總結性課程」係指於學生畢業前實施之課程，透過實作導向與整合性的學習經驗，讓學生統整大學所學、展現學習成效、提升核心能力。</t>
    <phoneticPr fontId="1" type="noConversion"/>
  </si>
  <si>
    <r>
      <rPr>
        <sz val="10"/>
        <rFont val="細明體"/>
        <family val="3"/>
        <charset val="136"/>
      </rPr>
      <t>（十一）</t>
    </r>
    <r>
      <rPr>
        <sz val="10"/>
        <rFont val="Times New Roman"/>
        <family val="1"/>
      </rPr>
      <t>2.</t>
    </r>
    <r>
      <rPr>
        <sz val="10"/>
        <rFont val="細明體"/>
        <family val="3"/>
        <charset val="136"/>
      </rPr>
      <t>系</t>
    </r>
    <r>
      <rPr>
        <sz val="10"/>
        <rFont val="Times New Roman"/>
        <family val="1"/>
      </rPr>
      <t>(</t>
    </r>
    <r>
      <rPr>
        <sz val="10"/>
        <rFont val="細明體"/>
        <family val="3"/>
        <charset val="136"/>
      </rPr>
      <t>所</t>
    </r>
    <r>
      <rPr>
        <sz val="10"/>
        <rFont val="Times New Roman"/>
        <family val="1"/>
      </rPr>
      <t>)</t>
    </r>
    <r>
      <rPr>
        <sz val="10"/>
        <rFont val="細明體"/>
        <family val="3"/>
        <charset val="136"/>
      </rPr>
      <t>上規劃與設計之總結性課程有利於學生檢視專業能力學習成效並提升實務能力。</t>
    </r>
    <r>
      <rPr>
        <sz val="10"/>
        <rFont val="Times New Roman"/>
        <family val="1"/>
      </rPr>
      <t>(</t>
    </r>
    <r>
      <rPr>
        <sz val="10"/>
        <rFont val="細明體"/>
        <family val="3"/>
        <charset val="136"/>
      </rPr>
      <t>無總結性課程者免填</t>
    </r>
    <r>
      <rPr>
        <sz val="10"/>
        <rFont val="Times New Roman"/>
        <family val="1"/>
      </rPr>
      <t>)</t>
    </r>
    <phoneticPr fontId="1" type="noConversion"/>
  </si>
  <si>
    <t>OTHER3</t>
    <phoneticPr fontId="2" type="noConversion"/>
  </si>
  <si>
    <t>（十二）在學期間，您是否有參與下列跨領域創新教學機制(多選)？</t>
    <phoneticPr fontId="1" type="noConversion"/>
  </si>
  <si>
    <t>說明：「共學實踐計畫」係指本校教師針對跨領域議題組成的師生共學與實踐團隊，透過專題研討與實作課程，促進師生共同參與各項社區實踐及國際合作方案，以培育學生批判思考、問題解決及統整融合知識等能力。</t>
    <phoneticPr fontId="1" type="noConversion"/>
  </si>
  <si>
    <t>（十三）我認為學校創新教學機制比傳統式教學更為生動活潑</t>
    <phoneticPr fontId="1" type="noConversion"/>
  </si>
  <si>
    <r>
      <rPr>
        <sz val="10"/>
        <rFont val="細明體"/>
        <family val="3"/>
        <charset val="136"/>
      </rPr>
      <t>（十四）透過課程</t>
    </r>
    <r>
      <rPr>
        <sz val="10"/>
        <rFont val="Times New Roman"/>
        <family val="1"/>
      </rPr>
      <t>(</t>
    </r>
    <r>
      <rPr>
        <sz val="10"/>
        <rFont val="細明體"/>
        <family val="3"/>
        <charset val="136"/>
      </rPr>
      <t>活動</t>
    </r>
    <r>
      <rPr>
        <sz val="10"/>
        <rFont val="Times New Roman"/>
        <family val="1"/>
      </rPr>
      <t>)</t>
    </r>
    <r>
      <rPr>
        <sz val="10"/>
        <rFont val="細明體"/>
        <family val="3"/>
        <charset val="136"/>
      </rPr>
      <t>等創新教學機制，可有效提升我</t>
    </r>
    <r>
      <rPr>
        <sz val="10"/>
        <rFont val="Times New Roman"/>
        <family val="1"/>
      </rPr>
      <t>…(</t>
    </r>
    <r>
      <rPr>
        <sz val="10"/>
        <rFont val="細明體"/>
        <family val="3"/>
        <charset val="136"/>
      </rPr>
      <t>多選</t>
    </r>
    <r>
      <rPr>
        <sz val="10"/>
        <rFont val="Times New Roman"/>
        <family val="1"/>
      </rPr>
      <t>)</t>
    </r>
    <r>
      <rPr>
        <sz val="10"/>
        <rFont val="細明體"/>
        <family val="3"/>
        <charset val="136"/>
      </rPr>
      <t>：</t>
    </r>
    <phoneticPr fontId="1" type="noConversion"/>
  </si>
  <si>
    <r>
      <rPr>
        <sz val="10"/>
        <rFont val="細明體"/>
        <family val="3"/>
        <charset val="136"/>
      </rPr>
      <t>（十五）對於本校教學創新機制是否有其他建議？</t>
    </r>
    <phoneticPr fontId="1" type="noConversion"/>
  </si>
  <si>
    <t>OTHER4</t>
    <phoneticPr fontId="1" type="noConversion"/>
  </si>
  <si>
    <t>38</t>
    <phoneticPr fontId="1" type="noConversion"/>
  </si>
  <si>
    <r>
      <rPr>
        <sz val="10"/>
        <rFont val="細明體"/>
        <family val="3"/>
        <charset val="136"/>
      </rPr>
      <t>（十一）</t>
    </r>
    <r>
      <rPr>
        <sz val="10"/>
        <rFont val="Times New Roman"/>
        <family val="1"/>
      </rPr>
      <t>1.</t>
    </r>
    <r>
      <rPr>
        <sz val="10"/>
        <rFont val="細明體"/>
        <family val="3"/>
        <charset val="136"/>
      </rPr>
      <t>系</t>
    </r>
    <r>
      <rPr>
        <sz val="10"/>
        <rFont val="Times New Roman"/>
        <family val="1"/>
      </rPr>
      <t>(</t>
    </r>
    <r>
      <rPr>
        <sz val="10"/>
        <rFont val="細明體"/>
        <family val="3"/>
        <charset val="136"/>
      </rPr>
      <t>所</t>
    </r>
    <r>
      <rPr>
        <sz val="10"/>
        <rFont val="Times New Roman"/>
        <family val="1"/>
      </rPr>
      <t>)</t>
    </r>
    <r>
      <rPr>
        <sz val="10"/>
        <rFont val="細明體"/>
        <family val="3"/>
        <charset val="136"/>
      </rPr>
      <t>上是否有規劃總結性課程</t>
    </r>
    <r>
      <rPr>
        <sz val="10"/>
        <rFont val="Times New Roman"/>
        <family val="1"/>
      </rPr>
      <t>(Capstone Course)</t>
    </r>
    <r>
      <rPr>
        <sz val="10"/>
        <rFont val="細明體"/>
        <family val="3"/>
        <charset val="136"/>
      </rPr>
      <t>（如：畢業製作、畢業專題等）。</t>
    </r>
    <phoneticPr fontId="1" type="noConversion"/>
  </si>
  <si>
    <t>0</t>
    <phoneticPr fontId="1" type="noConversion"/>
  </si>
  <si>
    <r>
      <rPr>
        <sz val="10"/>
        <rFont val="細明體"/>
        <family val="3"/>
        <charset val="136"/>
      </rPr>
      <t>（十四）透過課程</t>
    </r>
    <r>
      <rPr>
        <sz val="10"/>
        <rFont val="Times New Roman"/>
        <family val="1"/>
      </rPr>
      <t>(</t>
    </r>
    <r>
      <rPr>
        <sz val="10"/>
        <rFont val="細明體"/>
        <family val="3"/>
        <charset val="136"/>
      </rPr>
      <t>活動</t>
    </r>
    <r>
      <rPr>
        <sz val="10"/>
        <rFont val="Times New Roman"/>
        <family val="1"/>
      </rPr>
      <t>)</t>
    </r>
    <r>
      <rPr>
        <sz val="10"/>
        <rFont val="細明體"/>
        <family val="3"/>
        <charset val="136"/>
      </rPr>
      <t>等創新教學機制，可有效提升我</t>
    </r>
    <r>
      <rPr>
        <sz val="10"/>
        <rFont val="Times New Roman"/>
        <family val="1"/>
      </rPr>
      <t>…(</t>
    </r>
    <r>
      <rPr>
        <sz val="10"/>
        <rFont val="細明體"/>
        <family val="3"/>
        <charset val="136"/>
      </rPr>
      <t>多選</t>
    </r>
    <r>
      <rPr>
        <sz val="10"/>
        <rFont val="Times New Roman"/>
        <family val="1"/>
      </rPr>
      <t>)</t>
    </r>
    <r>
      <rPr>
        <sz val="10"/>
        <rFont val="細明體"/>
        <family val="3"/>
        <charset val="136"/>
      </rPr>
      <t>：</t>
    </r>
    <phoneticPr fontId="1" type="noConversion"/>
  </si>
  <si>
    <t>OTHER3</t>
    <phoneticPr fontId="2" type="noConversion"/>
  </si>
  <si>
    <t>（十三）我認為學校創新教學機制比傳統式教學更為生動活潑</t>
    <phoneticPr fontId="1" type="noConversion"/>
  </si>
  <si>
    <r>
      <rPr>
        <sz val="10"/>
        <rFont val="細明體"/>
        <family val="3"/>
        <charset val="136"/>
      </rPr>
      <t>（十五）對於本校教學創新機制是否有其他建議？</t>
    </r>
    <phoneticPr fontId="1" type="noConversion"/>
  </si>
  <si>
    <t>（十二）在學期間，您是否有參與下列跨領域創新教學機制(多選)？</t>
    <phoneticPr fontId="1" type="noConversion"/>
  </si>
  <si>
    <t>OTHER4</t>
    <phoneticPr fontId="1" type="noConversion"/>
  </si>
  <si>
    <t>34</t>
    <phoneticPr fontId="1" type="noConversion"/>
  </si>
  <si>
    <t>38</t>
    <phoneticPr fontId="1" type="noConversion"/>
  </si>
  <si>
    <t>114</t>
  </si>
  <si>
    <t>114</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</si>
</sst>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theme="1"/>
      <name val="新細明體"/>
      <family val="2"/>
      <charset val="136"/>
      <scheme val="minor"/>
    </font>
    <font>
      <sz val="9"/>
      <name val="新細明體"/>
      <family val="2"/>
      <charset val="136"/>
      <scheme val="minor"/>
    </font>
    <font>
      <sz val="9"/>
      <name val="新細明體"/>
      <family val="1"/>
      <charset val="136"/>
    </font>
    <font>
      <sz val="10"/>
      <name val="Times New Roman"/>
      <family val="1"/>
    </font>
    <font>
      <sz val="10"/>
      <name val="新細明體"/>
      <family val="1"/>
      <charset val="136"/>
    </font>
    <font>
      <sz val="11"/>
      <name val="新細明體"/>
      <family val="1"/>
      <charset val="136"/>
      <scheme val="minor"/>
    </font>
    <font>
      <sz val="12"/>
      <color theme="1"/>
      <name val="新細明體"/>
      <family val="1"/>
      <charset val="136"/>
      <scheme val="minor"/>
    </font>
    <font>
      <sz val="10"/>
      <name val="細明體"/>
      <family val="3"/>
      <charset val="136"/>
    </font>
  </fonts>
  <fills count="2">
    <fill>
      <patternFill patternType="none"/>
    </fill>
    <fill>
      <patternFill patternType="gray125"/>
    </fill>
  </fills>
  <borders count="1">
    <border>
      <left/>
      <right/>
      <top/>
      <bottom/>
      <diagonal/>
    </border>
  </borders>
  <cellStyleXfs count="2">
    <xf numFmtId="0" fontId="0" fillId="0" borderId="0">
      <alignment vertical="center"/>
    </xf>
    <xf numFmtId="0" fontId="6" fillId="0" borderId="0">
      <alignment vertical="center"/>
    </xf>
  </cellStyleXfs>
  <cellXfs count="12">
    <xf numFmtId="0" fontId="0" fillId="0" borderId="0" xfId="0">
      <alignment vertical="center"/>
    </xf>
    <xf numFmtId="0" fontId="3" fillId="0" borderId="0" xfId="0" applyFont="1" applyFill="1" applyBorder="1" applyAlignment="1">
      <alignment vertical="center" wrapText="1"/>
    </xf>
    <xf numFmtId="0" fontId="5" fillId="0" borderId="0" xfId="0" applyFont="1" applyFill="1" applyBorder="1" applyAlignment="1">
      <alignment vertical="center" wrapText="1"/>
    </xf>
    <xf numFmtId="49" fontId="3" fillId="0" borderId="0" xfId="0" applyNumberFormat="1" applyFont="1" applyFill="1" applyBorder="1" applyAlignment="1">
      <alignment horizontal="center" vertical="center" wrapText="1"/>
    </xf>
    <xf numFmtId="0" fontId="3" fillId="0" borderId="0" xfId="0" applyFont="1" applyFill="1" applyBorder="1" applyAlignment="1">
      <alignment horizontal="center" vertical="center" wrapText="1"/>
    </xf>
    <xf numFmtId="0" fontId="3" fillId="0" borderId="0" xfId="0" applyFont="1" applyFill="1" applyAlignment="1">
      <alignment vertical="center" wrapText="1"/>
    </xf>
    <xf numFmtId="0" fontId="0" fillId="0" borderId="0" xfId="0" applyFill="1">
      <alignment vertical="center"/>
    </xf>
    <xf numFmtId="0" fontId="3" fillId="0" borderId="0" xfId="0" applyFont="1" applyFill="1">
      <alignment vertical="center"/>
    </xf>
    <xf numFmtId="0" fontId="3" fillId="0" borderId="0" xfId="0" applyFont="1" applyFill="1" applyAlignment="1">
      <alignment horizontal="center" vertical="center"/>
    </xf>
    <xf numFmtId="49" fontId="3" fillId="0" borderId="0" xfId="0" applyNumberFormat="1" applyFont="1" applyFill="1" applyAlignment="1">
      <alignment horizontal="center" vertical="center"/>
    </xf>
    <xf numFmtId="0" fontId="7" fillId="0" borderId="0" xfId="0" applyFont="1" applyFill="1" applyBorder="1" applyAlignment="1">
      <alignment vertical="center" wrapText="1"/>
    </xf>
    <xf numFmtId="0" fontId="0" fillId="0" borderId="0" xfId="0" applyFont="1" applyFill="1">
      <alignment vertical="center"/>
    </xf>
  </cellXfs>
  <cellStyles count="2">
    <cellStyle name="一般" xfId="0" builtinId="0"/>
    <cellStyle name="一般 2" xfId="1" xr:uid="{00000000-0005-0000-0000-000001000000}"/>
  </cellStyles>
  <dxfs count="3">
    <dxf>
      <font>
        <color rgb="FF9C0006"/>
      </font>
      <fill>
        <patternFill>
          <bgColor rgb="FFFFC7CE"/>
        </patternFill>
      </fill>
    </dxf>
    <dxf>
      <font>
        <color rgb="FF9C6500"/>
      </font>
      <fill>
        <patternFill>
          <bgColor rgb="FFFFEB9C"/>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22"/>
  <sheetViews>
    <sheetView tabSelected="1" topLeftCell="A58" workbookViewId="0">
      <selection activeCell="M11" sqref="M11"/>
    </sheetView>
  </sheetViews>
  <sheetFormatPr defaultRowHeight="16.5" x14ac:dyDescent="0.25"/>
  <cols>
    <col min="1" max="1" width="7" style="8" customWidth="1"/>
    <col min="2" max="2" width="7.75" style="8" customWidth="1"/>
    <col min="3" max="3" width="9" style="8"/>
    <col min="4" max="4" width="6.375" style="8" customWidth="1"/>
    <col min="5" max="5" width="6.375" style="9" customWidth="1"/>
    <col min="6" max="6" width="32.375" style="7" customWidth="1"/>
    <col min="7" max="8" width="5" style="7" customWidth="1"/>
    <col min="9" max="9" width="9" style="7"/>
  </cols>
  <sheetData>
    <row r="1" spans="1:10" s="6" customFormat="1" x14ac:dyDescent="0.25">
      <c r="A1" s="3" t="s">
        <v>114</v>
      </c>
      <c r="B1" s="4" t="s">
        <v>115</v>
      </c>
      <c r="C1" s="3" t="s">
        <v>13</v>
      </c>
      <c r="D1" s="4" t="s">
        <v>14</v>
      </c>
      <c r="E1" s="3" t="s">
        <v>15</v>
      </c>
      <c r="F1" s="1" t="s">
        <v>139</v>
      </c>
      <c r="G1" s="1" t="s">
        <v>116</v>
      </c>
      <c r="H1" s="1" t="s">
        <v>117</v>
      </c>
      <c r="I1" s="1" t="s">
        <v>118</v>
      </c>
      <c r="J1" s="2" t="s">
        <v>0</v>
      </c>
    </row>
    <row r="2" spans="1:10" s="11" customFormat="1" x14ac:dyDescent="0.25">
      <c r="A2" s="3" t="s">
        <v>207</v>
      </c>
      <c r="B2" s="4">
        <v>1</v>
      </c>
      <c r="C2" s="3" t="s">
        <v>1</v>
      </c>
      <c r="D2" s="8">
        <v>1</v>
      </c>
      <c r="E2" s="9" t="s">
        <v>4</v>
      </c>
      <c r="F2" s="7" t="s">
        <v>119</v>
      </c>
      <c r="G2" s="7"/>
      <c r="H2" s="7"/>
      <c r="I2" s="7"/>
    </row>
    <row r="3" spans="1:10" s="6" customFormat="1" x14ac:dyDescent="0.25">
      <c r="A3" s="3" t="s">
        <v>207</v>
      </c>
      <c r="B3" s="4">
        <v>1</v>
      </c>
      <c r="C3" s="3" t="s">
        <v>1</v>
      </c>
      <c r="D3" s="8">
        <v>1</v>
      </c>
      <c r="E3" s="9" t="s">
        <v>2</v>
      </c>
      <c r="F3" s="1" t="s">
        <v>16</v>
      </c>
      <c r="G3" s="7"/>
      <c r="H3" s="7"/>
      <c r="I3" s="1" t="s">
        <v>51</v>
      </c>
    </row>
    <row r="4" spans="1:10" s="6" customFormat="1" x14ac:dyDescent="0.25">
      <c r="A4" s="3" t="s">
        <v>206</v>
      </c>
      <c r="B4" s="4">
        <v>1</v>
      </c>
      <c r="C4" s="3" t="s">
        <v>1</v>
      </c>
      <c r="D4" s="8">
        <v>1</v>
      </c>
      <c r="E4" s="9" t="s">
        <v>5</v>
      </c>
      <c r="F4" s="1" t="s">
        <v>17</v>
      </c>
      <c r="G4" s="7"/>
      <c r="H4" s="7"/>
      <c r="I4" s="1" t="s">
        <v>52</v>
      </c>
    </row>
    <row r="5" spans="1:10" s="6" customFormat="1" x14ac:dyDescent="0.25">
      <c r="A5" s="3" t="s">
        <v>206</v>
      </c>
      <c r="B5" s="4">
        <v>1</v>
      </c>
      <c r="C5" s="3" t="s">
        <v>1</v>
      </c>
      <c r="D5" s="8">
        <v>1</v>
      </c>
      <c r="E5" s="9" t="s">
        <v>6</v>
      </c>
      <c r="F5" s="1" t="s">
        <v>18</v>
      </c>
      <c r="G5" s="7"/>
      <c r="H5" s="7"/>
      <c r="I5" s="1" t="s">
        <v>53</v>
      </c>
    </row>
    <row r="6" spans="1:10" s="6" customFormat="1" x14ac:dyDescent="0.25">
      <c r="A6" s="3" t="s">
        <v>206</v>
      </c>
      <c r="B6" s="4">
        <v>1</v>
      </c>
      <c r="C6" s="3" t="s">
        <v>1</v>
      </c>
      <c r="D6" s="8">
        <v>1</v>
      </c>
      <c r="E6" s="9" t="s">
        <v>7</v>
      </c>
      <c r="F6" s="1" t="s">
        <v>19</v>
      </c>
      <c r="G6" s="7"/>
      <c r="H6" s="7"/>
      <c r="I6" s="1" t="s">
        <v>54</v>
      </c>
    </row>
    <row r="7" spans="1:10" s="6" customFormat="1" x14ac:dyDescent="0.25">
      <c r="A7" s="3" t="s">
        <v>206</v>
      </c>
      <c r="B7" s="4">
        <v>1</v>
      </c>
      <c r="C7" s="3" t="s">
        <v>1</v>
      </c>
      <c r="D7" s="8">
        <v>1</v>
      </c>
      <c r="E7" s="9" t="s">
        <v>8</v>
      </c>
      <c r="F7" s="1" t="s">
        <v>20</v>
      </c>
      <c r="G7" s="7"/>
      <c r="H7" s="7"/>
      <c r="I7" s="1" t="s">
        <v>55</v>
      </c>
    </row>
    <row r="8" spans="1:10" s="6" customFormat="1" x14ac:dyDescent="0.25">
      <c r="A8" s="3" t="s">
        <v>206</v>
      </c>
      <c r="B8" s="4">
        <v>1</v>
      </c>
      <c r="C8" s="3" t="s">
        <v>12</v>
      </c>
      <c r="D8" s="8">
        <v>2</v>
      </c>
      <c r="E8" s="9" t="s">
        <v>3</v>
      </c>
      <c r="F8" s="1" t="s">
        <v>140</v>
      </c>
      <c r="G8" s="7"/>
      <c r="H8" s="7"/>
      <c r="I8" s="7"/>
    </row>
    <row r="9" spans="1:10" s="6" customFormat="1" x14ac:dyDescent="0.25">
      <c r="A9" s="3" t="s">
        <v>206</v>
      </c>
      <c r="B9" s="4">
        <v>1</v>
      </c>
      <c r="C9" s="3" t="s">
        <v>12</v>
      </c>
      <c r="D9" s="8">
        <v>2</v>
      </c>
      <c r="E9" s="9" t="s">
        <v>21</v>
      </c>
      <c r="F9" s="1" t="s">
        <v>120</v>
      </c>
      <c r="G9" s="7"/>
      <c r="H9" s="7"/>
      <c r="I9" s="1" t="s">
        <v>56</v>
      </c>
    </row>
    <row r="10" spans="1:10" s="6" customFormat="1" x14ac:dyDescent="0.25">
      <c r="A10" s="3" t="s">
        <v>206</v>
      </c>
      <c r="B10" s="4">
        <v>1</v>
      </c>
      <c r="C10" s="3" t="s">
        <v>11</v>
      </c>
      <c r="D10" s="8">
        <v>2</v>
      </c>
      <c r="E10" s="9" t="s">
        <v>22</v>
      </c>
      <c r="F10" s="1" t="s">
        <v>121</v>
      </c>
      <c r="G10" s="7"/>
      <c r="H10" s="7"/>
      <c r="I10" s="1" t="s">
        <v>57</v>
      </c>
    </row>
    <row r="11" spans="1:10" s="6" customFormat="1" x14ac:dyDescent="0.25">
      <c r="A11" s="3" t="s">
        <v>206</v>
      </c>
      <c r="B11" s="4">
        <v>1</v>
      </c>
      <c r="C11" s="3" t="s">
        <v>11</v>
      </c>
      <c r="D11" s="8">
        <v>2</v>
      </c>
      <c r="E11" s="9" t="s">
        <v>23</v>
      </c>
      <c r="F11" s="1" t="s">
        <v>122</v>
      </c>
      <c r="G11" s="7"/>
      <c r="H11" s="7"/>
      <c r="I11" s="1" t="s">
        <v>58</v>
      </c>
    </row>
    <row r="12" spans="1:10" s="6" customFormat="1" x14ac:dyDescent="0.25">
      <c r="A12" s="3" t="s">
        <v>206</v>
      </c>
      <c r="B12" s="4">
        <v>1</v>
      </c>
      <c r="C12" s="8" t="s">
        <v>33</v>
      </c>
      <c r="D12" s="8">
        <v>3</v>
      </c>
      <c r="E12" s="9" t="s">
        <v>31</v>
      </c>
      <c r="F12" s="7" t="s">
        <v>107</v>
      </c>
      <c r="G12" s="7"/>
      <c r="H12" s="7"/>
      <c r="I12" s="7"/>
    </row>
    <row r="13" spans="1:10" s="6" customFormat="1" ht="28.5" x14ac:dyDescent="0.25">
      <c r="A13" s="3" t="s">
        <v>206</v>
      </c>
      <c r="B13" s="4">
        <v>1</v>
      </c>
      <c r="C13" s="8" t="s">
        <v>33</v>
      </c>
      <c r="D13" s="8">
        <v>3</v>
      </c>
      <c r="E13" s="9" t="s">
        <v>9</v>
      </c>
      <c r="F13" s="1" t="s">
        <v>131</v>
      </c>
      <c r="G13" s="7"/>
      <c r="H13" s="7"/>
      <c r="I13" s="1" t="str">
        <f>IF(E13&gt;0,"ANS_"&amp;E13,)</f>
        <v>ANS_09</v>
      </c>
    </row>
    <row r="14" spans="1:10" s="6" customFormat="1" ht="28.5" x14ac:dyDescent="0.25">
      <c r="A14" s="3" t="s">
        <v>206</v>
      </c>
      <c r="B14" s="4">
        <v>1</v>
      </c>
      <c r="C14" s="8" t="s">
        <v>32</v>
      </c>
      <c r="D14" s="8">
        <v>3</v>
      </c>
      <c r="E14" s="9" t="s">
        <v>10</v>
      </c>
      <c r="F14" s="1" t="s">
        <v>132</v>
      </c>
      <c r="G14" s="7"/>
      <c r="H14" s="7"/>
      <c r="I14" s="1" t="str">
        <f t="shared" ref="I14:I27" si="0">IF(E14&gt;0,"ANS_"&amp;E14,)</f>
        <v>ANS_10</v>
      </c>
    </row>
    <row r="15" spans="1:10" s="6" customFormat="1" ht="57" x14ac:dyDescent="0.25">
      <c r="A15" s="3" t="s">
        <v>206</v>
      </c>
      <c r="B15" s="4">
        <v>1</v>
      </c>
      <c r="C15" s="8" t="s">
        <v>32</v>
      </c>
      <c r="D15" s="8">
        <v>3</v>
      </c>
      <c r="E15" s="9" t="s">
        <v>27</v>
      </c>
      <c r="F15" s="1" t="s">
        <v>133</v>
      </c>
      <c r="G15" s="7"/>
      <c r="H15" s="7"/>
      <c r="I15" s="1" t="str">
        <f t="shared" si="0"/>
        <v>ANS_11</v>
      </c>
    </row>
    <row r="16" spans="1:10" s="6" customFormat="1" ht="42.75" x14ac:dyDescent="0.25">
      <c r="A16" s="3" t="s">
        <v>206</v>
      </c>
      <c r="B16" s="4">
        <v>1</v>
      </c>
      <c r="C16" s="8" t="s">
        <v>32</v>
      </c>
      <c r="D16" s="8">
        <v>3</v>
      </c>
      <c r="E16" s="9" t="s">
        <v>34</v>
      </c>
      <c r="F16" s="5" t="s">
        <v>134</v>
      </c>
      <c r="G16" s="7"/>
      <c r="H16" s="7"/>
      <c r="I16" s="1" t="str">
        <f t="shared" si="0"/>
        <v>ANS_12</v>
      </c>
    </row>
    <row r="17" spans="1:9" s="6" customFormat="1" ht="42.75" x14ac:dyDescent="0.25">
      <c r="A17" s="3" t="s">
        <v>206</v>
      </c>
      <c r="B17" s="4">
        <v>1</v>
      </c>
      <c r="C17" s="8" t="s">
        <v>32</v>
      </c>
      <c r="D17" s="8">
        <v>3</v>
      </c>
      <c r="E17" s="9" t="s">
        <v>25</v>
      </c>
      <c r="F17" s="5" t="s">
        <v>149</v>
      </c>
      <c r="G17" s="7"/>
      <c r="H17" s="7"/>
      <c r="I17" s="1" t="str">
        <f t="shared" si="0"/>
        <v>ANS_13</v>
      </c>
    </row>
    <row r="18" spans="1:9" s="6" customFormat="1" ht="28.5" x14ac:dyDescent="0.25">
      <c r="A18" s="3" t="s">
        <v>206</v>
      </c>
      <c r="B18" s="4">
        <v>1</v>
      </c>
      <c r="C18" s="8" t="s">
        <v>32</v>
      </c>
      <c r="D18" s="8">
        <v>4</v>
      </c>
      <c r="E18" s="9" t="s">
        <v>3</v>
      </c>
      <c r="F18" s="1" t="s">
        <v>123</v>
      </c>
      <c r="G18" s="7"/>
      <c r="H18" s="7"/>
      <c r="I18" s="1"/>
    </row>
    <row r="19" spans="1:9" s="6" customFormat="1" x14ac:dyDescent="0.25">
      <c r="A19" s="3" t="s">
        <v>206</v>
      </c>
      <c r="B19" s="4">
        <v>1</v>
      </c>
      <c r="C19" s="8" t="s">
        <v>32</v>
      </c>
      <c r="D19" s="8">
        <v>4</v>
      </c>
      <c r="E19" s="9" t="s">
        <v>30</v>
      </c>
      <c r="F19" s="1" t="s">
        <v>124</v>
      </c>
      <c r="G19" s="7"/>
      <c r="H19" s="7"/>
      <c r="I19" s="1" t="str">
        <f t="shared" si="0"/>
        <v>ANS_14</v>
      </c>
    </row>
    <row r="20" spans="1:9" s="6" customFormat="1" x14ac:dyDescent="0.25">
      <c r="A20" s="3" t="s">
        <v>206</v>
      </c>
      <c r="B20" s="4">
        <v>1</v>
      </c>
      <c r="C20" s="8" t="s">
        <v>32</v>
      </c>
      <c r="D20" s="8">
        <v>4</v>
      </c>
      <c r="E20" s="9" t="s">
        <v>26</v>
      </c>
      <c r="F20" s="1" t="s">
        <v>125</v>
      </c>
      <c r="G20" s="7"/>
      <c r="H20" s="7"/>
      <c r="I20" s="1" t="str">
        <f t="shared" si="0"/>
        <v>ANS_15</v>
      </c>
    </row>
    <row r="21" spans="1:9" s="6" customFormat="1" x14ac:dyDescent="0.25">
      <c r="A21" s="3" t="s">
        <v>206</v>
      </c>
      <c r="B21" s="4">
        <v>1</v>
      </c>
      <c r="C21" s="8" t="s">
        <v>32</v>
      </c>
      <c r="D21" s="8">
        <v>4</v>
      </c>
      <c r="E21" s="9" t="s">
        <v>43</v>
      </c>
      <c r="F21" s="1" t="s">
        <v>126</v>
      </c>
      <c r="G21" s="7"/>
      <c r="H21" s="7"/>
      <c r="I21" s="1" t="str">
        <f t="shared" si="0"/>
        <v>ANS_16</v>
      </c>
    </row>
    <row r="22" spans="1:9" s="6" customFormat="1" x14ac:dyDescent="0.25">
      <c r="A22" s="3" t="s">
        <v>206</v>
      </c>
      <c r="B22" s="4">
        <v>1</v>
      </c>
      <c r="C22" s="8" t="s">
        <v>32</v>
      </c>
      <c r="D22" s="8">
        <v>4</v>
      </c>
      <c r="E22" s="9" t="s">
        <v>44</v>
      </c>
      <c r="F22" s="1" t="s">
        <v>141</v>
      </c>
      <c r="G22" s="7"/>
      <c r="H22" s="7"/>
      <c r="I22" s="1" t="str">
        <f t="shared" si="0"/>
        <v>ANS_17</v>
      </c>
    </row>
    <row r="23" spans="1:9" s="6" customFormat="1" x14ac:dyDescent="0.25">
      <c r="A23" s="3" t="s">
        <v>206</v>
      </c>
      <c r="B23" s="4">
        <v>1</v>
      </c>
      <c r="C23" s="8" t="s">
        <v>32</v>
      </c>
      <c r="D23" s="8">
        <v>4</v>
      </c>
      <c r="E23" s="9" t="s">
        <v>62</v>
      </c>
      <c r="F23" s="1" t="s">
        <v>142</v>
      </c>
      <c r="G23" s="7"/>
      <c r="H23" s="7"/>
      <c r="I23" s="1" t="str">
        <f t="shared" si="0"/>
        <v>ANS_18</v>
      </c>
    </row>
    <row r="24" spans="1:9" s="6" customFormat="1" x14ac:dyDescent="0.25">
      <c r="A24" s="3" t="s">
        <v>206</v>
      </c>
      <c r="B24" s="4">
        <v>1</v>
      </c>
      <c r="C24" s="8" t="s">
        <v>32</v>
      </c>
      <c r="D24" s="8">
        <v>4</v>
      </c>
      <c r="E24" s="9" t="s">
        <v>63</v>
      </c>
      <c r="F24" s="1" t="s">
        <v>143</v>
      </c>
      <c r="G24" s="7"/>
      <c r="H24" s="7"/>
      <c r="I24" s="1" t="str">
        <f t="shared" si="0"/>
        <v>ANS_19</v>
      </c>
    </row>
    <row r="25" spans="1:9" s="6" customFormat="1" x14ac:dyDescent="0.25">
      <c r="A25" s="3" t="s">
        <v>206</v>
      </c>
      <c r="B25" s="4">
        <v>1</v>
      </c>
      <c r="C25" s="8" t="s">
        <v>32</v>
      </c>
      <c r="D25" s="8">
        <v>4</v>
      </c>
      <c r="E25" s="9" t="s">
        <v>48</v>
      </c>
      <c r="F25" s="1" t="s">
        <v>144</v>
      </c>
      <c r="G25" s="7"/>
      <c r="H25" s="7"/>
      <c r="I25" s="1" t="str">
        <f t="shared" si="0"/>
        <v>ANS_20</v>
      </c>
    </row>
    <row r="26" spans="1:9" s="6" customFormat="1" x14ac:dyDescent="0.25">
      <c r="A26" s="3" t="s">
        <v>206</v>
      </c>
      <c r="B26" s="4">
        <v>1</v>
      </c>
      <c r="C26" s="8" t="s">
        <v>32</v>
      </c>
      <c r="D26" s="8">
        <v>4</v>
      </c>
      <c r="E26" s="9" t="s">
        <v>64</v>
      </c>
      <c r="F26" s="1" t="s">
        <v>145</v>
      </c>
      <c r="G26" s="7"/>
      <c r="H26" s="7"/>
      <c r="I26" s="1" t="str">
        <f t="shared" si="0"/>
        <v>ANS_21</v>
      </c>
    </row>
    <row r="27" spans="1:9" s="6" customFormat="1" x14ac:dyDescent="0.25">
      <c r="A27" s="3" t="s">
        <v>206</v>
      </c>
      <c r="B27" s="4">
        <v>1</v>
      </c>
      <c r="C27" s="8" t="s">
        <v>32</v>
      </c>
      <c r="D27" s="8">
        <v>4</v>
      </c>
      <c r="E27" s="9" t="s">
        <v>49</v>
      </c>
      <c r="F27" s="1" t="s">
        <v>130</v>
      </c>
      <c r="G27" s="7"/>
      <c r="H27" s="7"/>
      <c r="I27" s="1" t="str">
        <f t="shared" si="0"/>
        <v>ANS_22</v>
      </c>
    </row>
    <row r="28" spans="1:9" s="6" customFormat="1" x14ac:dyDescent="0.25">
      <c r="A28" s="3" t="s">
        <v>206</v>
      </c>
      <c r="B28" s="4">
        <v>1</v>
      </c>
      <c r="C28" s="8" t="s">
        <v>32</v>
      </c>
      <c r="D28" s="8">
        <v>5</v>
      </c>
      <c r="E28" s="9" t="s">
        <v>76</v>
      </c>
      <c r="F28" s="1" t="s">
        <v>146</v>
      </c>
      <c r="G28" s="7"/>
      <c r="H28" s="7"/>
      <c r="I28" s="7"/>
    </row>
    <row r="29" spans="1:9" s="6" customFormat="1" ht="28.5" x14ac:dyDescent="0.25">
      <c r="A29" s="3" t="s">
        <v>206</v>
      </c>
      <c r="B29" s="4">
        <v>1</v>
      </c>
      <c r="C29" s="8" t="s">
        <v>32</v>
      </c>
      <c r="D29" s="4">
        <v>5</v>
      </c>
      <c r="E29" s="3" t="s">
        <v>85</v>
      </c>
      <c r="F29" s="1" t="s">
        <v>80</v>
      </c>
      <c r="G29" s="1"/>
      <c r="H29" s="1"/>
      <c r="I29" s="1" t="str">
        <f t="shared" ref="I29:I36" si="1">IF(E29&gt;0,"ANS_"&amp;E29," ")</f>
        <v>ANS_23</v>
      </c>
    </row>
    <row r="30" spans="1:9" s="6" customFormat="1" ht="28.5" x14ac:dyDescent="0.25">
      <c r="A30" s="3" t="s">
        <v>206</v>
      </c>
      <c r="B30" s="4">
        <v>1</v>
      </c>
      <c r="C30" s="8" t="s">
        <v>32</v>
      </c>
      <c r="D30" s="8">
        <v>5</v>
      </c>
      <c r="E30" s="3" t="s">
        <v>50</v>
      </c>
      <c r="F30" s="1" t="s">
        <v>81</v>
      </c>
      <c r="G30" s="1"/>
      <c r="H30" s="1"/>
      <c r="I30" s="1" t="str">
        <f t="shared" si="1"/>
        <v>ANS_24</v>
      </c>
    </row>
    <row r="31" spans="1:9" s="6" customFormat="1" ht="28.5" x14ac:dyDescent="0.25">
      <c r="A31" s="3" t="s">
        <v>206</v>
      </c>
      <c r="B31" s="4">
        <v>1</v>
      </c>
      <c r="C31" s="8" t="s">
        <v>32</v>
      </c>
      <c r="D31" s="4">
        <v>5</v>
      </c>
      <c r="E31" s="3" t="s">
        <v>68</v>
      </c>
      <c r="F31" s="1" t="s">
        <v>82</v>
      </c>
      <c r="G31" s="1"/>
      <c r="H31" s="1"/>
      <c r="I31" s="1" t="str">
        <f t="shared" si="1"/>
        <v>ANS_25</v>
      </c>
    </row>
    <row r="32" spans="1:9" s="6" customFormat="1" ht="28.5" x14ac:dyDescent="0.25">
      <c r="A32" s="3" t="s">
        <v>206</v>
      </c>
      <c r="B32" s="4">
        <v>1</v>
      </c>
      <c r="C32" s="8" t="s">
        <v>32</v>
      </c>
      <c r="D32" s="8">
        <v>5</v>
      </c>
      <c r="E32" s="3" t="s">
        <v>69</v>
      </c>
      <c r="F32" s="1" t="s">
        <v>83</v>
      </c>
      <c r="G32" s="1"/>
      <c r="H32" s="1"/>
      <c r="I32" s="1" t="str">
        <f t="shared" si="1"/>
        <v>ANS_26</v>
      </c>
    </row>
    <row r="33" spans="1:9" s="6" customFormat="1" ht="28.5" x14ac:dyDescent="0.25">
      <c r="A33" s="3" t="s">
        <v>206</v>
      </c>
      <c r="B33" s="4">
        <v>1</v>
      </c>
      <c r="C33" s="8" t="s">
        <v>32</v>
      </c>
      <c r="D33" s="4">
        <v>5</v>
      </c>
      <c r="E33" s="3" t="s">
        <v>77</v>
      </c>
      <c r="F33" s="1" t="s">
        <v>84</v>
      </c>
      <c r="G33" s="1"/>
      <c r="H33" s="1"/>
      <c r="I33" s="1" t="str">
        <f t="shared" si="1"/>
        <v>ANS_27</v>
      </c>
    </row>
    <row r="34" spans="1:9" s="6" customFormat="1" ht="28.5" x14ac:dyDescent="0.25">
      <c r="A34" s="3" t="s">
        <v>206</v>
      </c>
      <c r="B34" s="4">
        <v>1</v>
      </c>
      <c r="C34" s="8" t="s">
        <v>32</v>
      </c>
      <c r="D34" s="4">
        <v>6</v>
      </c>
      <c r="E34" s="3" t="s">
        <v>103</v>
      </c>
      <c r="F34" s="1" t="s">
        <v>113</v>
      </c>
      <c r="G34" s="1"/>
      <c r="H34" s="1"/>
      <c r="I34" s="1" t="str">
        <f t="shared" si="1"/>
        <v>ANS_28</v>
      </c>
    </row>
    <row r="35" spans="1:9" s="6" customFormat="1" ht="42.75" x14ac:dyDescent="0.25">
      <c r="A35" s="3" t="s">
        <v>206</v>
      </c>
      <c r="B35" s="4">
        <v>1</v>
      </c>
      <c r="C35" s="8" t="s">
        <v>32</v>
      </c>
      <c r="D35" s="4">
        <v>7</v>
      </c>
      <c r="E35" s="3" t="s">
        <v>104</v>
      </c>
      <c r="F35" s="1" t="s">
        <v>108</v>
      </c>
      <c r="G35" s="1"/>
      <c r="H35" s="1"/>
      <c r="I35" s="1" t="str">
        <f t="shared" si="1"/>
        <v>ANS_29</v>
      </c>
    </row>
    <row r="36" spans="1:9" s="6" customFormat="1" ht="71.25" x14ac:dyDescent="0.25">
      <c r="A36" s="3" t="s">
        <v>206</v>
      </c>
      <c r="B36" s="4">
        <v>1</v>
      </c>
      <c r="C36" s="8" t="s">
        <v>32</v>
      </c>
      <c r="D36" s="4">
        <v>8</v>
      </c>
      <c r="E36" s="3" t="s">
        <v>36</v>
      </c>
      <c r="F36" s="1" t="s">
        <v>109</v>
      </c>
      <c r="G36" s="1"/>
      <c r="H36" s="1"/>
      <c r="I36" s="1" t="str">
        <f t="shared" si="1"/>
        <v>ANS_30</v>
      </c>
    </row>
    <row r="37" spans="1:9" s="6" customFormat="1" x14ac:dyDescent="0.25">
      <c r="A37" s="3" t="s">
        <v>206</v>
      </c>
      <c r="B37" s="4">
        <v>1</v>
      </c>
      <c r="C37" s="8" t="s">
        <v>32</v>
      </c>
      <c r="D37" s="8">
        <v>9</v>
      </c>
      <c r="E37" s="3" t="s">
        <v>86</v>
      </c>
      <c r="F37" s="1" t="s">
        <v>110</v>
      </c>
      <c r="G37" s="1"/>
      <c r="H37" s="1"/>
      <c r="I37" s="1" t="s">
        <v>101</v>
      </c>
    </row>
    <row r="38" spans="1:9" s="6" customFormat="1" ht="28.5" x14ac:dyDescent="0.25">
      <c r="A38" s="3" t="s">
        <v>206</v>
      </c>
      <c r="B38" s="4">
        <v>1</v>
      </c>
      <c r="C38" s="8" t="s">
        <v>32</v>
      </c>
      <c r="D38" s="4">
        <v>10</v>
      </c>
      <c r="E38" s="3" t="s">
        <v>87</v>
      </c>
      <c r="F38" s="1" t="s">
        <v>111</v>
      </c>
      <c r="G38" s="1"/>
      <c r="H38" s="1"/>
      <c r="I38" s="1" t="str">
        <f t="shared" ref="I38" si="2">IF(E38&gt;0,"ANS_"&amp;E38," ")</f>
        <v>ANS_32</v>
      </c>
    </row>
    <row r="39" spans="1:9" s="6" customFormat="1" ht="28.5" x14ac:dyDescent="0.25">
      <c r="A39" s="3" t="s">
        <v>206</v>
      </c>
      <c r="B39" s="4">
        <v>1</v>
      </c>
      <c r="C39" s="8" t="s">
        <v>32</v>
      </c>
      <c r="D39" s="4">
        <v>10</v>
      </c>
      <c r="E39" s="3" t="s">
        <v>88</v>
      </c>
      <c r="F39" s="1" t="s">
        <v>112</v>
      </c>
      <c r="G39" s="1"/>
      <c r="H39" s="1"/>
      <c r="I39" s="1" t="s">
        <v>102</v>
      </c>
    </row>
    <row r="40" spans="1:9" s="6" customFormat="1" ht="42.75" x14ac:dyDescent="0.25">
      <c r="A40" s="3" t="s">
        <v>206</v>
      </c>
      <c r="B40" s="4">
        <v>1</v>
      </c>
      <c r="C40" s="8" t="s">
        <v>32</v>
      </c>
      <c r="D40" s="4">
        <v>11</v>
      </c>
      <c r="E40" s="3" t="s">
        <v>105</v>
      </c>
      <c r="F40" s="1" t="s">
        <v>172</v>
      </c>
      <c r="G40" s="1"/>
      <c r="H40" s="1"/>
      <c r="I40" s="1" t="str">
        <f t="shared" ref="I40:I47" si="3">IF(E40&gt;0,"ANS_"&amp;E40," ")</f>
        <v>ANS_34</v>
      </c>
    </row>
    <row r="41" spans="1:9" s="6" customFormat="1" ht="57" x14ac:dyDescent="0.25">
      <c r="A41" s="3" t="s">
        <v>206</v>
      </c>
      <c r="B41" s="4">
        <v>1</v>
      </c>
      <c r="C41" s="8" t="s">
        <v>32</v>
      </c>
      <c r="D41" s="4">
        <v>11</v>
      </c>
      <c r="E41" s="3" t="s">
        <v>173</v>
      </c>
      <c r="F41" s="10" t="s">
        <v>170</v>
      </c>
      <c r="G41" s="1"/>
      <c r="H41" s="1"/>
      <c r="I41" s="1"/>
    </row>
    <row r="42" spans="1:9" s="6" customFormat="1" ht="42.75" x14ac:dyDescent="0.25">
      <c r="A42" s="3" t="s">
        <v>206</v>
      </c>
      <c r="B42" s="4">
        <v>1</v>
      </c>
      <c r="C42" s="8" t="s">
        <v>32</v>
      </c>
      <c r="D42" s="4">
        <v>11</v>
      </c>
      <c r="E42" s="3" t="s">
        <v>169</v>
      </c>
      <c r="F42" s="1" t="s">
        <v>174</v>
      </c>
      <c r="G42" s="1"/>
      <c r="H42" s="1"/>
      <c r="I42" s="1" t="str">
        <f t="shared" si="3"/>
        <v>ANS_35</v>
      </c>
    </row>
    <row r="43" spans="1:9" s="6" customFormat="1" ht="28.5" x14ac:dyDescent="0.25">
      <c r="A43" s="3" t="s">
        <v>206</v>
      </c>
      <c r="B43" s="4">
        <v>1</v>
      </c>
      <c r="C43" s="8" t="s">
        <v>32</v>
      </c>
      <c r="D43" s="4">
        <v>11</v>
      </c>
      <c r="E43" s="3" t="s">
        <v>91</v>
      </c>
      <c r="F43" s="1" t="s">
        <v>175</v>
      </c>
      <c r="G43" s="1"/>
      <c r="H43" s="1"/>
      <c r="I43" s="1" t="s">
        <v>176</v>
      </c>
    </row>
    <row r="44" spans="1:9" s="6" customFormat="1" ht="28.5" x14ac:dyDescent="0.25">
      <c r="A44" s="3" t="s">
        <v>206</v>
      </c>
      <c r="B44" s="4">
        <v>1</v>
      </c>
      <c r="C44" s="8" t="s">
        <v>32</v>
      </c>
      <c r="D44" s="8">
        <v>12</v>
      </c>
      <c r="E44" s="3" t="s">
        <v>182</v>
      </c>
      <c r="F44" s="10" t="s">
        <v>171</v>
      </c>
      <c r="G44" s="7"/>
      <c r="H44" s="7"/>
      <c r="I44" s="1" t="str">
        <f t="shared" si="3"/>
        <v>ANS_37</v>
      </c>
    </row>
    <row r="45" spans="1:9" s="6" customFormat="1" ht="85.5" x14ac:dyDescent="0.25">
      <c r="A45" s="3" t="s">
        <v>206</v>
      </c>
      <c r="B45" s="4">
        <v>1</v>
      </c>
      <c r="C45" s="8" t="s">
        <v>32</v>
      </c>
      <c r="D45" s="8">
        <v>12</v>
      </c>
      <c r="E45" s="3" t="s">
        <v>177</v>
      </c>
      <c r="F45" s="10" t="s">
        <v>178</v>
      </c>
      <c r="G45" s="7"/>
      <c r="H45" s="7"/>
      <c r="I45" s="1"/>
    </row>
    <row r="46" spans="1:9" s="6" customFormat="1" ht="28.5" x14ac:dyDescent="0.25">
      <c r="A46" s="3" t="s">
        <v>206</v>
      </c>
      <c r="B46" s="4">
        <v>1</v>
      </c>
      <c r="C46" s="8" t="s">
        <v>32</v>
      </c>
      <c r="D46" s="8">
        <v>13</v>
      </c>
      <c r="E46" s="3" t="s">
        <v>183</v>
      </c>
      <c r="F46" s="10" t="s">
        <v>179</v>
      </c>
      <c r="G46" s="7"/>
      <c r="H46" s="7"/>
      <c r="I46" s="1" t="str">
        <f t="shared" si="3"/>
        <v>ANS_38</v>
      </c>
    </row>
    <row r="47" spans="1:9" s="6" customFormat="1" ht="28.5" x14ac:dyDescent="0.25">
      <c r="A47" s="3" t="s">
        <v>206</v>
      </c>
      <c r="B47" s="4">
        <v>1</v>
      </c>
      <c r="C47" s="8" t="s">
        <v>32</v>
      </c>
      <c r="D47" s="8">
        <v>14</v>
      </c>
      <c r="E47" s="3" t="s">
        <v>166</v>
      </c>
      <c r="F47" s="1" t="s">
        <v>168</v>
      </c>
      <c r="G47" s="7"/>
      <c r="H47" s="7"/>
      <c r="I47" s="1" t="str">
        <f t="shared" si="3"/>
        <v>ANS_39</v>
      </c>
    </row>
    <row r="48" spans="1:9" s="6" customFormat="1" ht="28.5" x14ac:dyDescent="0.25">
      <c r="A48" s="3" t="s">
        <v>206</v>
      </c>
      <c r="B48" s="4">
        <v>1</v>
      </c>
      <c r="C48" s="8" t="s">
        <v>32</v>
      </c>
      <c r="D48" s="8">
        <v>15</v>
      </c>
      <c r="E48" s="3" t="s">
        <v>163</v>
      </c>
      <c r="F48" s="1" t="s">
        <v>180</v>
      </c>
      <c r="G48" s="7"/>
      <c r="H48" s="7"/>
      <c r="I48" s="1" t="s">
        <v>181</v>
      </c>
    </row>
    <row r="49" spans="1:9" s="6" customFormat="1" x14ac:dyDescent="0.25">
      <c r="A49" s="3" t="s">
        <v>206</v>
      </c>
      <c r="B49" s="4">
        <v>1</v>
      </c>
      <c r="C49" s="8" t="s">
        <v>39</v>
      </c>
      <c r="D49" s="8">
        <v>3</v>
      </c>
      <c r="E49" s="9" t="s">
        <v>31</v>
      </c>
      <c r="F49" s="7" t="s">
        <v>155</v>
      </c>
      <c r="G49" s="7"/>
      <c r="H49" s="7"/>
      <c r="I49" s="7"/>
    </row>
    <row r="50" spans="1:9" s="6" customFormat="1" ht="28.5" x14ac:dyDescent="0.25">
      <c r="A50" s="3" t="s">
        <v>206</v>
      </c>
      <c r="B50" s="4">
        <v>1</v>
      </c>
      <c r="C50" s="8" t="s">
        <v>39</v>
      </c>
      <c r="D50" s="8">
        <v>3</v>
      </c>
      <c r="E50" s="9" t="s">
        <v>37</v>
      </c>
      <c r="F50" s="1" t="s">
        <v>135</v>
      </c>
      <c r="G50" s="7"/>
      <c r="H50" s="7"/>
      <c r="I50" s="1" t="str">
        <f>IF(E50&gt;0,"ANS_"&amp;E50,)</f>
        <v>ANS_09</v>
      </c>
    </row>
    <row r="51" spans="1:9" s="6" customFormat="1" ht="42.75" x14ac:dyDescent="0.25">
      <c r="A51" s="3" t="s">
        <v>206</v>
      </c>
      <c r="B51" s="4">
        <v>1</v>
      </c>
      <c r="C51" s="8" t="s">
        <v>38</v>
      </c>
      <c r="D51" s="8">
        <v>3</v>
      </c>
      <c r="E51" s="9" t="s">
        <v>10</v>
      </c>
      <c r="F51" s="1" t="s">
        <v>136</v>
      </c>
      <c r="G51" s="7"/>
      <c r="H51" s="7"/>
      <c r="I51" s="1" t="str">
        <f t="shared" ref="I51:I64" si="4">IF(E51&gt;0,"ANS_"&amp;E51,)</f>
        <v>ANS_10</v>
      </c>
    </row>
    <row r="52" spans="1:9" s="6" customFormat="1" ht="57" x14ac:dyDescent="0.25">
      <c r="A52" s="3" t="s">
        <v>206</v>
      </c>
      <c r="B52" s="4">
        <v>1</v>
      </c>
      <c r="C52" s="8" t="s">
        <v>38</v>
      </c>
      <c r="D52" s="8">
        <v>3</v>
      </c>
      <c r="E52" s="9" t="s">
        <v>24</v>
      </c>
      <c r="F52" s="1" t="s">
        <v>137</v>
      </c>
      <c r="G52" s="7"/>
      <c r="H52" s="7"/>
      <c r="I52" s="1" t="str">
        <f t="shared" si="4"/>
        <v>ANS_11</v>
      </c>
    </row>
    <row r="53" spans="1:9" s="6" customFormat="1" ht="42.75" x14ac:dyDescent="0.25">
      <c r="A53" s="3" t="s">
        <v>206</v>
      </c>
      <c r="B53" s="4">
        <v>1</v>
      </c>
      <c r="C53" s="8" t="s">
        <v>38</v>
      </c>
      <c r="D53" s="8">
        <v>3</v>
      </c>
      <c r="E53" s="9" t="s">
        <v>40</v>
      </c>
      <c r="F53" s="1" t="s">
        <v>138</v>
      </c>
      <c r="G53" s="7"/>
      <c r="H53" s="7"/>
      <c r="I53" s="1" t="str">
        <f t="shared" si="4"/>
        <v>ANS_12</v>
      </c>
    </row>
    <row r="54" spans="1:9" s="6" customFormat="1" ht="57" x14ac:dyDescent="0.25">
      <c r="A54" s="3" t="s">
        <v>206</v>
      </c>
      <c r="B54" s="4">
        <v>1</v>
      </c>
      <c r="C54" s="8" t="s">
        <v>38</v>
      </c>
      <c r="D54" s="8">
        <v>3</v>
      </c>
      <c r="E54" s="9" t="s">
        <v>41</v>
      </c>
      <c r="F54" s="1" t="s">
        <v>156</v>
      </c>
      <c r="G54" s="7"/>
      <c r="H54" s="7"/>
      <c r="I54" s="1" t="str">
        <f t="shared" si="4"/>
        <v>ANS_13</v>
      </c>
    </row>
    <row r="55" spans="1:9" s="6" customFormat="1" ht="28.5" x14ac:dyDescent="0.25">
      <c r="A55" s="3" t="s">
        <v>206</v>
      </c>
      <c r="B55" s="4">
        <v>1</v>
      </c>
      <c r="C55" s="8" t="s">
        <v>38</v>
      </c>
      <c r="D55" s="8">
        <v>4</v>
      </c>
      <c r="E55" s="9" t="s">
        <v>3</v>
      </c>
      <c r="F55" s="1" t="s">
        <v>148</v>
      </c>
      <c r="G55" s="7"/>
      <c r="H55" s="7"/>
      <c r="I55" s="1"/>
    </row>
    <row r="56" spans="1:9" s="6" customFormat="1" x14ac:dyDescent="0.25">
      <c r="A56" s="3" t="s">
        <v>206</v>
      </c>
      <c r="B56" s="4">
        <v>1</v>
      </c>
      <c r="C56" s="8" t="s">
        <v>38</v>
      </c>
      <c r="D56" s="8">
        <v>4</v>
      </c>
      <c r="E56" s="9" t="s">
        <v>30</v>
      </c>
      <c r="F56" s="1" t="s">
        <v>124</v>
      </c>
      <c r="G56" s="7"/>
      <c r="H56" s="7"/>
      <c r="I56" s="1" t="str">
        <f t="shared" si="4"/>
        <v>ANS_14</v>
      </c>
    </row>
    <row r="57" spans="1:9" s="6" customFormat="1" x14ac:dyDescent="0.25">
      <c r="A57" s="3" t="s">
        <v>206</v>
      </c>
      <c r="B57" s="4">
        <v>1</v>
      </c>
      <c r="C57" s="8" t="s">
        <v>38</v>
      </c>
      <c r="D57" s="8">
        <v>4</v>
      </c>
      <c r="E57" s="9" t="s">
        <v>28</v>
      </c>
      <c r="F57" s="1" t="s">
        <v>125</v>
      </c>
      <c r="G57" s="7"/>
      <c r="H57" s="7"/>
      <c r="I57" s="1" t="str">
        <f t="shared" si="4"/>
        <v>ANS_15</v>
      </c>
    </row>
    <row r="58" spans="1:9" s="6" customFormat="1" x14ac:dyDescent="0.25">
      <c r="A58" s="3" t="s">
        <v>206</v>
      </c>
      <c r="B58" s="4">
        <v>1</v>
      </c>
      <c r="C58" s="8" t="s">
        <v>38</v>
      </c>
      <c r="D58" s="8">
        <v>4</v>
      </c>
      <c r="E58" s="9" t="s">
        <v>71</v>
      </c>
      <c r="F58" s="1" t="s">
        <v>126</v>
      </c>
      <c r="G58" s="7"/>
      <c r="H58" s="7"/>
      <c r="I58" s="1" t="str">
        <f t="shared" si="4"/>
        <v>ANS_16</v>
      </c>
    </row>
    <row r="59" spans="1:9" s="6" customFormat="1" x14ac:dyDescent="0.25">
      <c r="A59" s="3" t="s">
        <v>206</v>
      </c>
      <c r="B59" s="4">
        <v>1</v>
      </c>
      <c r="C59" s="8" t="s">
        <v>38</v>
      </c>
      <c r="D59" s="8">
        <v>4</v>
      </c>
      <c r="E59" s="9" t="s">
        <v>59</v>
      </c>
      <c r="F59" s="1" t="s">
        <v>141</v>
      </c>
      <c r="G59" s="7"/>
      <c r="H59" s="7"/>
      <c r="I59" s="1" t="str">
        <f t="shared" si="4"/>
        <v>ANS_17</v>
      </c>
    </row>
    <row r="60" spans="1:9" s="6" customFormat="1" x14ac:dyDescent="0.25">
      <c r="A60" s="3" t="s">
        <v>206</v>
      </c>
      <c r="B60" s="4">
        <v>1</v>
      </c>
      <c r="C60" s="8" t="s">
        <v>38</v>
      </c>
      <c r="D60" s="8">
        <v>4</v>
      </c>
      <c r="E60" s="9" t="s">
        <v>65</v>
      </c>
      <c r="F60" s="1" t="s">
        <v>142</v>
      </c>
      <c r="G60" s="7"/>
      <c r="H60" s="7"/>
      <c r="I60" s="1" t="str">
        <f t="shared" si="4"/>
        <v>ANS_18</v>
      </c>
    </row>
    <row r="61" spans="1:9" s="6" customFormat="1" x14ac:dyDescent="0.25">
      <c r="A61" s="3" t="s">
        <v>206</v>
      </c>
      <c r="B61" s="4">
        <v>1</v>
      </c>
      <c r="C61" s="8" t="s">
        <v>38</v>
      </c>
      <c r="D61" s="8">
        <v>4</v>
      </c>
      <c r="E61" s="9" t="s">
        <v>61</v>
      </c>
      <c r="F61" s="1" t="s">
        <v>143</v>
      </c>
      <c r="G61" s="7"/>
      <c r="H61" s="7"/>
      <c r="I61" s="1" t="str">
        <f t="shared" si="4"/>
        <v>ANS_19</v>
      </c>
    </row>
    <row r="62" spans="1:9" s="6" customFormat="1" x14ac:dyDescent="0.25">
      <c r="A62" s="3" t="s">
        <v>206</v>
      </c>
      <c r="B62" s="4">
        <v>1</v>
      </c>
      <c r="C62" s="8" t="s">
        <v>38</v>
      </c>
      <c r="D62" s="8">
        <v>4</v>
      </c>
      <c r="E62" s="9" t="s">
        <v>72</v>
      </c>
      <c r="F62" s="1" t="s">
        <v>128</v>
      </c>
      <c r="G62" s="7"/>
      <c r="H62" s="7"/>
      <c r="I62" s="1" t="str">
        <f t="shared" si="4"/>
        <v>ANS_20</v>
      </c>
    </row>
    <row r="63" spans="1:9" s="6" customFormat="1" x14ac:dyDescent="0.25">
      <c r="A63" s="3" t="s">
        <v>206</v>
      </c>
      <c r="B63" s="4">
        <v>1</v>
      </c>
      <c r="C63" s="8" t="s">
        <v>38</v>
      </c>
      <c r="D63" s="8">
        <v>4</v>
      </c>
      <c r="E63" s="9" t="s">
        <v>73</v>
      </c>
      <c r="F63" s="1" t="s">
        <v>157</v>
      </c>
      <c r="G63" s="7"/>
      <c r="H63" s="7"/>
      <c r="I63" s="1" t="str">
        <f t="shared" si="4"/>
        <v>ANS_21</v>
      </c>
    </row>
    <row r="64" spans="1:9" s="6" customFormat="1" x14ac:dyDescent="0.25">
      <c r="A64" s="3" t="s">
        <v>206</v>
      </c>
      <c r="B64" s="4">
        <v>1</v>
      </c>
      <c r="C64" s="8" t="s">
        <v>38</v>
      </c>
      <c r="D64" s="8">
        <v>4</v>
      </c>
      <c r="E64" s="9" t="s">
        <v>49</v>
      </c>
      <c r="F64" s="1" t="s">
        <v>130</v>
      </c>
      <c r="G64" s="7"/>
      <c r="H64" s="7"/>
      <c r="I64" s="1" t="str">
        <f t="shared" si="4"/>
        <v>ANS_22</v>
      </c>
    </row>
    <row r="65" spans="1:9" s="6" customFormat="1" x14ac:dyDescent="0.25">
      <c r="A65" s="3" t="s">
        <v>206</v>
      </c>
      <c r="B65" s="4">
        <v>1</v>
      </c>
      <c r="C65" s="8" t="s">
        <v>38</v>
      </c>
      <c r="D65" s="8">
        <v>5</v>
      </c>
      <c r="E65" s="9" t="s">
        <v>76</v>
      </c>
      <c r="F65" s="1" t="s">
        <v>146</v>
      </c>
      <c r="G65" s="7"/>
      <c r="H65" s="7"/>
      <c r="I65" s="7"/>
    </row>
    <row r="66" spans="1:9" s="6" customFormat="1" ht="28.5" x14ac:dyDescent="0.25">
      <c r="A66" s="3" t="s">
        <v>206</v>
      </c>
      <c r="B66" s="4">
        <v>1</v>
      </c>
      <c r="C66" s="8" t="s">
        <v>38</v>
      </c>
      <c r="D66" s="4">
        <v>5</v>
      </c>
      <c r="E66" s="3" t="s">
        <v>90</v>
      </c>
      <c r="F66" s="1" t="s">
        <v>92</v>
      </c>
      <c r="G66" s="1"/>
      <c r="H66" s="1"/>
      <c r="I66" s="1" t="str">
        <f t="shared" ref="I66:I73" si="5">IF(E66&gt;0,"ANS_"&amp;E66," ")</f>
        <v>ANS_23</v>
      </c>
    </row>
    <row r="67" spans="1:9" s="6" customFormat="1" ht="28.5" x14ac:dyDescent="0.25">
      <c r="A67" s="3" t="s">
        <v>206</v>
      </c>
      <c r="B67" s="4">
        <v>1</v>
      </c>
      <c r="C67" s="8" t="s">
        <v>38</v>
      </c>
      <c r="D67" s="8">
        <v>5</v>
      </c>
      <c r="E67" s="3" t="s">
        <v>50</v>
      </c>
      <c r="F67" s="1" t="s">
        <v>93</v>
      </c>
      <c r="G67" s="1"/>
      <c r="H67" s="1"/>
      <c r="I67" s="1" t="str">
        <f t="shared" si="5"/>
        <v>ANS_24</v>
      </c>
    </row>
    <row r="68" spans="1:9" s="6" customFormat="1" ht="28.5" x14ac:dyDescent="0.25">
      <c r="A68" s="3" t="s">
        <v>206</v>
      </c>
      <c r="B68" s="4">
        <v>1</v>
      </c>
      <c r="C68" s="8" t="s">
        <v>38</v>
      </c>
      <c r="D68" s="4">
        <v>5</v>
      </c>
      <c r="E68" s="3" t="s">
        <v>75</v>
      </c>
      <c r="F68" s="1" t="s">
        <v>94</v>
      </c>
      <c r="G68" s="1"/>
      <c r="H68" s="1"/>
      <c r="I68" s="1" t="str">
        <f t="shared" si="5"/>
        <v>ANS_25</v>
      </c>
    </row>
    <row r="69" spans="1:9" s="6" customFormat="1" ht="28.5" x14ac:dyDescent="0.25">
      <c r="A69" s="3" t="s">
        <v>206</v>
      </c>
      <c r="B69" s="4">
        <v>1</v>
      </c>
      <c r="C69" s="8" t="s">
        <v>38</v>
      </c>
      <c r="D69" s="8">
        <v>5</v>
      </c>
      <c r="E69" s="3" t="s">
        <v>97</v>
      </c>
      <c r="F69" s="1" t="s">
        <v>95</v>
      </c>
      <c r="G69" s="1"/>
      <c r="H69" s="1"/>
      <c r="I69" s="1" t="str">
        <f t="shared" si="5"/>
        <v>ANS_26</v>
      </c>
    </row>
    <row r="70" spans="1:9" s="6" customFormat="1" ht="28.5" x14ac:dyDescent="0.25">
      <c r="A70" s="3" t="s">
        <v>206</v>
      </c>
      <c r="B70" s="4">
        <v>1</v>
      </c>
      <c r="C70" s="8" t="s">
        <v>38</v>
      </c>
      <c r="D70" s="4">
        <v>5</v>
      </c>
      <c r="E70" s="3" t="s">
        <v>89</v>
      </c>
      <c r="F70" s="1" t="s">
        <v>96</v>
      </c>
      <c r="G70" s="1"/>
      <c r="H70" s="1"/>
      <c r="I70" s="1" t="str">
        <f t="shared" si="5"/>
        <v>ANS_27</v>
      </c>
    </row>
    <row r="71" spans="1:9" s="6" customFormat="1" ht="28.5" x14ac:dyDescent="0.25">
      <c r="A71" s="3" t="s">
        <v>206</v>
      </c>
      <c r="B71" s="4">
        <v>1</v>
      </c>
      <c r="C71" s="8" t="s">
        <v>38</v>
      </c>
      <c r="D71" s="4">
        <v>6</v>
      </c>
      <c r="E71" s="3" t="s">
        <v>78</v>
      </c>
      <c r="F71" s="1" t="s">
        <v>147</v>
      </c>
      <c r="G71" s="1"/>
      <c r="H71" s="1"/>
      <c r="I71" s="1" t="str">
        <f t="shared" si="5"/>
        <v>ANS_28</v>
      </c>
    </row>
    <row r="72" spans="1:9" s="6" customFormat="1" ht="42.75" x14ac:dyDescent="0.25">
      <c r="A72" s="3" t="s">
        <v>206</v>
      </c>
      <c r="B72" s="4">
        <v>1</v>
      </c>
      <c r="C72" s="8" t="s">
        <v>38</v>
      </c>
      <c r="D72" s="4">
        <v>7</v>
      </c>
      <c r="E72" s="3" t="s">
        <v>106</v>
      </c>
      <c r="F72" s="1" t="s">
        <v>152</v>
      </c>
      <c r="G72" s="1"/>
      <c r="H72" s="1"/>
      <c r="I72" s="1" t="str">
        <f t="shared" si="5"/>
        <v>ANS_29</v>
      </c>
    </row>
    <row r="73" spans="1:9" s="6" customFormat="1" ht="71.25" x14ac:dyDescent="0.25">
      <c r="A73" s="3" t="s">
        <v>206</v>
      </c>
      <c r="B73" s="4">
        <v>1</v>
      </c>
      <c r="C73" s="8" t="s">
        <v>38</v>
      </c>
      <c r="D73" s="4">
        <v>8</v>
      </c>
      <c r="E73" s="3" t="s">
        <v>36</v>
      </c>
      <c r="F73" s="1" t="s">
        <v>153</v>
      </c>
      <c r="G73" s="1"/>
      <c r="H73" s="1"/>
      <c r="I73" s="1" t="str">
        <f t="shared" si="5"/>
        <v>ANS_30</v>
      </c>
    </row>
    <row r="74" spans="1:9" s="6" customFormat="1" x14ac:dyDescent="0.25">
      <c r="A74" s="3" t="s">
        <v>206</v>
      </c>
      <c r="B74" s="4">
        <v>1</v>
      </c>
      <c r="C74" s="8" t="s">
        <v>38</v>
      </c>
      <c r="D74" s="8">
        <v>9</v>
      </c>
      <c r="E74" s="3" t="s">
        <v>86</v>
      </c>
      <c r="F74" s="1" t="s">
        <v>150</v>
      </c>
      <c r="G74" s="1"/>
      <c r="H74" s="1"/>
      <c r="I74" s="1" t="s">
        <v>101</v>
      </c>
    </row>
    <row r="75" spans="1:9" s="6" customFormat="1" ht="28.5" x14ac:dyDescent="0.25">
      <c r="A75" s="3" t="s">
        <v>206</v>
      </c>
      <c r="B75" s="4">
        <v>1</v>
      </c>
      <c r="C75" s="8" t="s">
        <v>38</v>
      </c>
      <c r="D75" s="4">
        <v>10</v>
      </c>
      <c r="E75" s="3" t="s">
        <v>87</v>
      </c>
      <c r="F75" s="1" t="s">
        <v>151</v>
      </c>
      <c r="G75" s="1"/>
      <c r="H75" s="1"/>
      <c r="I75" s="1" t="str">
        <f t="shared" ref="I75" si="6">IF(E75&gt;0,"ANS_"&amp;E75," ")</f>
        <v>ANS_32</v>
      </c>
    </row>
    <row r="76" spans="1:9" s="6" customFormat="1" ht="28.5" x14ac:dyDescent="0.25">
      <c r="A76" s="3" t="s">
        <v>206</v>
      </c>
      <c r="B76" s="4">
        <v>1</v>
      </c>
      <c r="C76" s="8" t="s">
        <v>38</v>
      </c>
      <c r="D76" s="4">
        <v>10</v>
      </c>
      <c r="E76" s="3" t="s">
        <v>88</v>
      </c>
      <c r="F76" s="1" t="s">
        <v>154</v>
      </c>
      <c r="G76" s="1"/>
      <c r="H76" s="1"/>
      <c r="I76" s="1" t="s">
        <v>102</v>
      </c>
    </row>
    <row r="77" spans="1:9" s="6" customFormat="1" ht="42.75" x14ac:dyDescent="0.25">
      <c r="A77" s="3" t="s">
        <v>206</v>
      </c>
      <c r="B77" s="4">
        <v>1</v>
      </c>
      <c r="C77" s="8" t="s">
        <v>38</v>
      </c>
      <c r="D77" s="4">
        <v>11</v>
      </c>
      <c r="E77" s="3" t="s">
        <v>105</v>
      </c>
      <c r="F77" s="1" t="s">
        <v>185</v>
      </c>
      <c r="G77" s="1"/>
      <c r="H77" s="1"/>
      <c r="I77" s="1" t="str">
        <f t="shared" ref="I77:I84" si="7">IF(E77&gt;0,"ANS_"&amp;E77," ")</f>
        <v>ANS_34</v>
      </c>
    </row>
    <row r="78" spans="1:9" s="6" customFormat="1" ht="57" x14ac:dyDescent="0.25">
      <c r="A78" s="3" t="s">
        <v>206</v>
      </c>
      <c r="B78" s="4">
        <v>1</v>
      </c>
      <c r="C78" s="8" t="s">
        <v>38</v>
      </c>
      <c r="D78" s="4">
        <v>11</v>
      </c>
      <c r="E78" s="3" t="s">
        <v>162</v>
      </c>
      <c r="F78" s="10" t="s">
        <v>186</v>
      </c>
      <c r="G78" s="1"/>
      <c r="H78" s="1"/>
      <c r="I78" s="1"/>
    </row>
    <row r="79" spans="1:9" s="6" customFormat="1" ht="42.75" x14ac:dyDescent="0.25">
      <c r="A79" s="3" t="s">
        <v>206</v>
      </c>
      <c r="B79" s="4">
        <v>1</v>
      </c>
      <c r="C79" s="8" t="s">
        <v>38</v>
      </c>
      <c r="D79" s="4">
        <v>11</v>
      </c>
      <c r="E79" s="3" t="s">
        <v>167</v>
      </c>
      <c r="F79" s="1" t="s">
        <v>187</v>
      </c>
      <c r="G79" s="1"/>
      <c r="H79" s="1"/>
      <c r="I79" s="1" t="str">
        <f t="shared" si="7"/>
        <v>ANS_35</v>
      </c>
    </row>
    <row r="80" spans="1:9" s="6" customFormat="1" ht="28.5" x14ac:dyDescent="0.25">
      <c r="A80" s="3" t="s">
        <v>206</v>
      </c>
      <c r="B80" s="4">
        <v>1</v>
      </c>
      <c r="C80" s="8" t="s">
        <v>38</v>
      </c>
      <c r="D80" s="4">
        <v>11</v>
      </c>
      <c r="E80" s="3" t="s">
        <v>184</v>
      </c>
      <c r="F80" s="1" t="s">
        <v>161</v>
      </c>
      <c r="G80" s="1"/>
      <c r="H80" s="1"/>
      <c r="I80" s="1" t="s">
        <v>188</v>
      </c>
    </row>
    <row r="81" spans="1:9" s="6" customFormat="1" ht="28.5" x14ac:dyDescent="0.25">
      <c r="A81" s="3" t="s">
        <v>206</v>
      </c>
      <c r="B81" s="4">
        <v>1</v>
      </c>
      <c r="C81" s="8" t="s">
        <v>38</v>
      </c>
      <c r="D81" s="8">
        <v>12</v>
      </c>
      <c r="E81" s="3" t="s">
        <v>165</v>
      </c>
      <c r="F81" s="10" t="s">
        <v>189</v>
      </c>
      <c r="G81" s="7"/>
      <c r="H81" s="7"/>
      <c r="I81" s="1" t="str">
        <f t="shared" si="7"/>
        <v>ANS_37</v>
      </c>
    </row>
    <row r="82" spans="1:9" s="6" customFormat="1" ht="85.5" x14ac:dyDescent="0.25">
      <c r="A82" s="3" t="s">
        <v>206</v>
      </c>
      <c r="B82" s="4">
        <v>1</v>
      </c>
      <c r="C82" s="8" t="s">
        <v>38</v>
      </c>
      <c r="D82" s="8">
        <v>12</v>
      </c>
      <c r="E82" s="3" t="s">
        <v>164</v>
      </c>
      <c r="F82" s="10" t="s">
        <v>190</v>
      </c>
      <c r="G82" s="7"/>
      <c r="H82" s="7"/>
      <c r="I82" s="1"/>
    </row>
    <row r="83" spans="1:9" s="6" customFormat="1" ht="28.5" x14ac:dyDescent="0.25">
      <c r="A83" s="3" t="s">
        <v>206</v>
      </c>
      <c r="B83" s="4">
        <v>1</v>
      </c>
      <c r="C83" s="8" t="s">
        <v>38</v>
      </c>
      <c r="D83" s="8">
        <v>13</v>
      </c>
      <c r="E83" s="3" t="s">
        <v>195</v>
      </c>
      <c r="F83" s="10" t="s">
        <v>191</v>
      </c>
      <c r="G83" s="7"/>
      <c r="H83" s="7"/>
      <c r="I83" s="1" t="str">
        <f t="shared" si="7"/>
        <v>ANS_38</v>
      </c>
    </row>
    <row r="84" spans="1:9" s="6" customFormat="1" ht="28.5" x14ac:dyDescent="0.25">
      <c r="A84" s="3" t="s">
        <v>206</v>
      </c>
      <c r="B84" s="4">
        <v>1</v>
      </c>
      <c r="C84" s="8" t="s">
        <v>38</v>
      </c>
      <c r="D84" s="8">
        <v>14</v>
      </c>
      <c r="E84" s="3" t="s">
        <v>166</v>
      </c>
      <c r="F84" s="1" t="s">
        <v>192</v>
      </c>
      <c r="G84" s="7"/>
      <c r="H84" s="7"/>
      <c r="I84" s="1" t="str">
        <f t="shared" si="7"/>
        <v>ANS_39</v>
      </c>
    </row>
    <row r="85" spans="1:9" s="6" customFormat="1" ht="28.5" x14ac:dyDescent="0.25">
      <c r="A85" s="3" t="s">
        <v>206</v>
      </c>
      <c r="B85" s="4">
        <v>1</v>
      </c>
      <c r="C85" s="8" t="s">
        <v>38</v>
      </c>
      <c r="D85" s="8">
        <v>15</v>
      </c>
      <c r="E85" s="3" t="s">
        <v>163</v>
      </c>
      <c r="F85" s="1" t="s">
        <v>193</v>
      </c>
      <c r="G85" s="7"/>
      <c r="H85" s="7"/>
      <c r="I85" s="1" t="s">
        <v>194</v>
      </c>
    </row>
    <row r="86" spans="1:9" s="6" customFormat="1" x14ac:dyDescent="0.25">
      <c r="A86" s="3" t="s">
        <v>206</v>
      </c>
      <c r="B86" s="4">
        <v>1</v>
      </c>
      <c r="C86" s="8" t="s">
        <v>46</v>
      </c>
      <c r="D86" s="8">
        <v>3</v>
      </c>
      <c r="E86" s="9" t="s">
        <v>31</v>
      </c>
      <c r="F86" s="7" t="s">
        <v>107</v>
      </c>
      <c r="G86" s="7"/>
      <c r="H86" s="7"/>
      <c r="I86" s="7"/>
    </row>
    <row r="87" spans="1:9" s="6" customFormat="1" ht="28.5" x14ac:dyDescent="0.25">
      <c r="A87" s="3" t="s">
        <v>206</v>
      </c>
      <c r="B87" s="4">
        <v>1</v>
      </c>
      <c r="C87" s="8" t="s">
        <v>46</v>
      </c>
      <c r="D87" s="8">
        <v>3</v>
      </c>
      <c r="E87" s="9" t="s">
        <v>9</v>
      </c>
      <c r="F87" s="1" t="s">
        <v>135</v>
      </c>
      <c r="G87" s="7"/>
      <c r="H87" s="7"/>
      <c r="I87" s="1" t="str">
        <f t="shared" ref="I87:I101" si="8">IF(E87&gt;0,"ANS_"&amp;E87,)</f>
        <v>ANS_09</v>
      </c>
    </row>
    <row r="88" spans="1:9" s="6" customFormat="1" ht="42.75" x14ac:dyDescent="0.25">
      <c r="A88" s="3" t="s">
        <v>206</v>
      </c>
      <c r="B88" s="4">
        <v>1</v>
      </c>
      <c r="C88" s="8" t="s">
        <v>45</v>
      </c>
      <c r="D88" s="8">
        <v>3</v>
      </c>
      <c r="E88" s="9" t="s">
        <v>10</v>
      </c>
      <c r="F88" s="1" t="s">
        <v>136</v>
      </c>
      <c r="G88" s="7"/>
      <c r="H88" s="7"/>
      <c r="I88" s="1" t="str">
        <f t="shared" si="8"/>
        <v>ANS_10</v>
      </c>
    </row>
    <row r="89" spans="1:9" s="6" customFormat="1" ht="57" x14ac:dyDescent="0.25">
      <c r="A89" s="3" t="s">
        <v>206</v>
      </c>
      <c r="B89" s="4">
        <v>1</v>
      </c>
      <c r="C89" s="8" t="s">
        <v>45</v>
      </c>
      <c r="D89" s="8">
        <v>3</v>
      </c>
      <c r="E89" s="9" t="s">
        <v>42</v>
      </c>
      <c r="F89" s="1" t="s">
        <v>137</v>
      </c>
      <c r="G89" s="7"/>
      <c r="H89" s="7"/>
      <c r="I89" s="1" t="str">
        <f t="shared" si="8"/>
        <v>ANS_11</v>
      </c>
    </row>
    <row r="90" spans="1:9" s="6" customFormat="1" ht="42.75" x14ac:dyDescent="0.25">
      <c r="A90" s="3" t="s">
        <v>206</v>
      </c>
      <c r="B90" s="4">
        <v>1</v>
      </c>
      <c r="C90" s="8" t="s">
        <v>45</v>
      </c>
      <c r="D90" s="8">
        <v>3</v>
      </c>
      <c r="E90" s="9" t="s">
        <v>34</v>
      </c>
      <c r="F90" s="1" t="s">
        <v>138</v>
      </c>
      <c r="G90" s="7"/>
      <c r="H90" s="7"/>
      <c r="I90" s="1" t="str">
        <f t="shared" si="8"/>
        <v>ANS_12</v>
      </c>
    </row>
    <row r="91" spans="1:9" s="6" customFormat="1" ht="57" x14ac:dyDescent="0.25">
      <c r="A91" s="3" t="s">
        <v>206</v>
      </c>
      <c r="B91" s="4">
        <v>1</v>
      </c>
      <c r="C91" s="8" t="s">
        <v>45</v>
      </c>
      <c r="D91" s="8">
        <v>3</v>
      </c>
      <c r="E91" s="9" t="s">
        <v>29</v>
      </c>
      <c r="F91" s="1" t="s">
        <v>158</v>
      </c>
      <c r="G91" s="7"/>
      <c r="H91" s="7"/>
      <c r="I91" s="1" t="str">
        <f t="shared" si="8"/>
        <v>ANS_13</v>
      </c>
    </row>
    <row r="92" spans="1:9" s="6" customFormat="1" ht="28.5" x14ac:dyDescent="0.25">
      <c r="A92" s="3" t="s">
        <v>206</v>
      </c>
      <c r="B92" s="4">
        <v>1</v>
      </c>
      <c r="C92" s="8" t="s">
        <v>45</v>
      </c>
      <c r="D92" s="8">
        <v>4</v>
      </c>
      <c r="E92" s="9" t="s">
        <v>3</v>
      </c>
      <c r="F92" s="1" t="s">
        <v>148</v>
      </c>
      <c r="G92" s="7"/>
      <c r="H92" s="7"/>
      <c r="I92" s="1"/>
    </row>
    <row r="93" spans="1:9" s="6" customFormat="1" x14ac:dyDescent="0.25">
      <c r="A93" s="3" t="s">
        <v>206</v>
      </c>
      <c r="B93" s="4">
        <v>1</v>
      </c>
      <c r="C93" s="8" t="s">
        <v>45</v>
      </c>
      <c r="D93" s="8">
        <v>4</v>
      </c>
      <c r="E93" s="9" t="s">
        <v>35</v>
      </c>
      <c r="F93" s="1" t="s">
        <v>124</v>
      </c>
      <c r="G93" s="7"/>
      <c r="H93" s="7"/>
      <c r="I93" s="1" t="str">
        <f t="shared" si="8"/>
        <v>ANS_14</v>
      </c>
    </row>
    <row r="94" spans="1:9" s="6" customFormat="1" x14ac:dyDescent="0.25">
      <c r="A94" s="3" t="s">
        <v>206</v>
      </c>
      <c r="B94" s="4">
        <v>1</v>
      </c>
      <c r="C94" s="8" t="s">
        <v>45</v>
      </c>
      <c r="D94" s="8">
        <v>4</v>
      </c>
      <c r="E94" s="9" t="s">
        <v>26</v>
      </c>
      <c r="F94" s="1" t="s">
        <v>125</v>
      </c>
      <c r="G94" s="7"/>
      <c r="H94" s="7"/>
      <c r="I94" s="1" t="str">
        <f t="shared" si="8"/>
        <v>ANS_15</v>
      </c>
    </row>
    <row r="95" spans="1:9" s="6" customFormat="1" x14ac:dyDescent="0.25">
      <c r="A95" s="3" t="s">
        <v>206</v>
      </c>
      <c r="B95" s="4">
        <v>1</v>
      </c>
      <c r="C95" s="8" t="s">
        <v>45</v>
      </c>
      <c r="D95" s="8">
        <v>4</v>
      </c>
      <c r="E95" s="9" t="s">
        <v>60</v>
      </c>
      <c r="F95" s="1" t="s">
        <v>126</v>
      </c>
      <c r="G95" s="7"/>
      <c r="H95" s="7"/>
      <c r="I95" s="1" t="str">
        <f t="shared" si="8"/>
        <v>ANS_16</v>
      </c>
    </row>
    <row r="96" spans="1:9" s="6" customFormat="1" x14ac:dyDescent="0.25">
      <c r="A96" s="3" t="s">
        <v>206</v>
      </c>
      <c r="B96" s="4">
        <v>1</v>
      </c>
      <c r="C96" s="8" t="s">
        <v>45</v>
      </c>
      <c r="D96" s="8">
        <v>4</v>
      </c>
      <c r="E96" s="9" t="s">
        <v>44</v>
      </c>
      <c r="F96" s="1" t="s">
        <v>141</v>
      </c>
      <c r="G96" s="7"/>
      <c r="H96" s="7"/>
      <c r="I96" s="1" t="str">
        <f t="shared" si="8"/>
        <v>ANS_17</v>
      </c>
    </row>
    <row r="97" spans="1:9" s="6" customFormat="1" x14ac:dyDescent="0.25">
      <c r="A97" s="3" t="s">
        <v>206</v>
      </c>
      <c r="B97" s="4">
        <v>1</v>
      </c>
      <c r="C97" s="8" t="s">
        <v>45</v>
      </c>
      <c r="D97" s="8">
        <v>4</v>
      </c>
      <c r="E97" s="9" t="s">
        <v>47</v>
      </c>
      <c r="F97" s="1" t="s">
        <v>127</v>
      </c>
      <c r="G97" s="7"/>
      <c r="H97" s="7"/>
      <c r="I97" s="1" t="str">
        <f t="shared" si="8"/>
        <v>ANS_18</v>
      </c>
    </row>
    <row r="98" spans="1:9" s="6" customFormat="1" x14ac:dyDescent="0.25">
      <c r="A98" s="3" t="s">
        <v>206</v>
      </c>
      <c r="B98" s="4">
        <v>1</v>
      </c>
      <c r="C98" s="8" t="s">
        <v>45</v>
      </c>
      <c r="D98" s="8">
        <v>4</v>
      </c>
      <c r="E98" s="9" t="s">
        <v>61</v>
      </c>
      <c r="F98" s="1" t="s">
        <v>143</v>
      </c>
      <c r="G98" s="7"/>
      <c r="H98" s="7"/>
      <c r="I98" s="1" t="str">
        <f t="shared" si="8"/>
        <v>ANS_19</v>
      </c>
    </row>
    <row r="99" spans="1:9" s="6" customFormat="1" x14ac:dyDescent="0.25">
      <c r="A99" s="3" t="s">
        <v>206</v>
      </c>
      <c r="B99" s="4">
        <v>1</v>
      </c>
      <c r="C99" s="8" t="s">
        <v>45</v>
      </c>
      <c r="D99" s="8">
        <v>4</v>
      </c>
      <c r="E99" s="9" t="s">
        <v>67</v>
      </c>
      <c r="F99" s="1" t="s">
        <v>128</v>
      </c>
      <c r="G99" s="7"/>
      <c r="H99" s="7"/>
      <c r="I99" s="1" t="str">
        <f t="shared" si="8"/>
        <v>ANS_20</v>
      </c>
    </row>
    <row r="100" spans="1:9" s="6" customFormat="1" x14ac:dyDescent="0.25">
      <c r="A100" s="3" t="s">
        <v>206</v>
      </c>
      <c r="B100" s="4">
        <v>1</v>
      </c>
      <c r="C100" s="8" t="s">
        <v>45</v>
      </c>
      <c r="D100" s="8">
        <v>4</v>
      </c>
      <c r="E100" s="9" t="s">
        <v>66</v>
      </c>
      <c r="F100" s="1" t="s">
        <v>129</v>
      </c>
      <c r="G100" s="7"/>
      <c r="H100" s="7"/>
      <c r="I100" s="1" t="str">
        <f t="shared" si="8"/>
        <v>ANS_21</v>
      </c>
    </row>
    <row r="101" spans="1:9" s="6" customFormat="1" x14ac:dyDescent="0.25">
      <c r="A101" s="3" t="s">
        <v>206</v>
      </c>
      <c r="B101" s="4">
        <v>1</v>
      </c>
      <c r="C101" s="8" t="s">
        <v>45</v>
      </c>
      <c r="D101" s="8">
        <v>4</v>
      </c>
      <c r="E101" s="9" t="s">
        <v>74</v>
      </c>
      <c r="F101" s="1" t="s">
        <v>130</v>
      </c>
      <c r="G101" s="7"/>
      <c r="H101" s="7"/>
      <c r="I101" s="1" t="str">
        <f t="shared" si="8"/>
        <v>ANS_22</v>
      </c>
    </row>
    <row r="102" spans="1:9" s="6" customFormat="1" x14ac:dyDescent="0.25">
      <c r="A102" s="3" t="s">
        <v>206</v>
      </c>
      <c r="B102" s="4">
        <v>1</v>
      </c>
      <c r="C102" s="8" t="s">
        <v>45</v>
      </c>
      <c r="D102" s="8">
        <v>5</v>
      </c>
      <c r="E102" s="9" t="s">
        <v>76</v>
      </c>
      <c r="F102" s="1" t="s">
        <v>146</v>
      </c>
      <c r="G102" s="7"/>
      <c r="H102" s="7"/>
      <c r="I102" s="7"/>
    </row>
    <row r="103" spans="1:9" s="6" customFormat="1" ht="28.5" x14ac:dyDescent="0.25">
      <c r="A103" s="3" t="s">
        <v>206</v>
      </c>
      <c r="B103" s="4">
        <v>1</v>
      </c>
      <c r="C103" s="8" t="s">
        <v>45</v>
      </c>
      <c r="D103" s="4">
        <v>5</v>
      </c>
      <c r="E103" s="3" t="s">
        <v>70</v>
      </c>
      <c r="F103" s="1" t="s">
        <v>92</v>
      </c>
      <c r="G103" s="1"/>
      <c r="H103" s="1"/>
      <c r="I103" s="1" t="str">
        <f t="shared" ref="I103:I110" si="9">IF(E103&gt;0,"ANS_"&amp;E103," ")</f>
        <v>ANS_23</v>
      </c>
    </row>
    <row r="104" spans="1:9" s="6" customFormat="1" ht="28.5" x14ac:dyDescent="0.25">
      <c r="A104" s="3" t="s">
        <v>206</v>
      </c>
      <c r="B104" s="4">
        <v>1</v>
      </c>
      <c r="C104" s="8" t="s">
        <v>45</v>
      </c>
      <c r="D104" s="8">
        <v>5</v>
      </c>
      <c r="E104" s="3" t="s">
        <v>99</v>
      </c>
      <c r="F104" s="1" t="s">
        <v>93</v>
      </c>
      <c r="G104" s="1"/>
      <c r="H104" s="1"/>
      <c r="I104" s="1" t="str">
        <f t="shared" si="9"/>
        <v>ANS_24</v>
      </c>
    </row>
    <row r="105" spans="1:9" s="6" customFormat="1" ht="28.5" x14ac:dyDescent="0.25">
      <c r="A105" s="3" t="s">
        <v>206</v>
      </c>
      <c r="B105" s="4">
        <v>1</v>
      </c>
      <c r="C105" s="8" t="s">
        <v>45</v>
      </c>
      <c r="D105" s="4">
        <v>5</v>
      </c>
      <c r="E105" s="3" t="s">
        <v>100</v>
      </c>
      <c r="F105" s="1" t="s">
        <v>94</v>
      </c>
      <c r="G105" s="1"/>
      <c r="H105" s="1"/>
      <c r="I105" s="1" t="str">
        <f t="shared" si="9"/>
        <v>ANS_25</v>
      </c>
    </row>
    <row r="106" spans="1:9" s="6" customFormat="1" ht="28.5" x14ac:dyDescent="0.25">
      <c r="A106" s="3" t="s">
        <v>206</v>
      </c>
      <c r="B106" s="4">
        <v>1</v>
      </c>
      <c r="C106" s="8" t="s">
        <v>45</v>
      </c>
      <c r="D106" s="8">
        <v>5</v>
      </c>
      <c r="E106" s="3" t="s">
        <v>69</v>
      </c>
      <c r="F106" s="1" t="s">
        <v>95</v>
      </c>
      <c r="G106" s="1"/>
      <c r="H106" s="1"/>
      <c r="I106" s="1" t="str">
        <f t="shared" si="9"/>
        <v>ANS_26</v>
      </c>
    </row>
    <row r="107" spans="1:9" s="6" customFormat="1" ht="28.5" x14ac:dyDescent="0.25">
      <c r="A107" s="3" t="s">
        <v>206</v>
      </c>
      <c r="B107" s="4">
        <v>1</v>
      </c>
      <c r="C107" s="8" t="s">
        <v>45</v>
      </c>
      <c r="D107" s="4">
        <v>5</v>
      </c>
      <c r="E107" s="3" t="s">
        <v>77</v>
      </c>
      <c r="F107" s="1" t="s">
        <v>98</v>
      </c>
      <c r="G107" s="1"/>
      <c r="H107" s="1"/>
      <c r="I107" s="1" t="str">
        <f t="shared" si="9"/>
        <v>ANS_27</v>
      </c>
    </row>
    <row r="108" spans="1:9" s="6" customFormat="1" ht="28.5" x14ac:dyDescent="0.25">
      <c r="A108" s="3" t="s">
        <v>206</v>
      </c>
      <c r="B108" s="4">
        <v>1</v>
      </c>
      <c r="C108" s="8" t="s">
        <v>45</v>
      </c>
      <c r="D108" s="4">
        <v>6</v>
      </c>
      <c r="E108" s="3" t="s">
        <v>78</v>
      </c>
      <c r="F108" s="1" t="s">
        <v>147</v>
      </c>
      <c r="G108" s="1"/>
      <c r="H108" s="1"/>
      <c r="I108" s="1" t="str">
        <f t="shared" si="9"/>
        <v>ANS_28</v>
      </c>
    </row>
    <row r="109" spans="1:9" s="6" customFormat="1" ht="42.75" x14ac:dyDescent="0.25">
      <c r="A109" s="3" t="s">
        <v>206</v>
      </c>
      <c r="B109" s="4">
        <v>1</v>
      </c>
      <c r="C109" s="8" t="s">
        <v>45</v>
      </c>
      <c r="D109" s="4">
        <v>7</v>
      </c>
      <c r="E109" s="3" t="s">
        <v>79</v>
      </c>
      <c r="F109" s="1" t="s">
        <v>152</v>
      </c>
      <c r="G109" s="1"/>
      <c r="H109" s="1"/>
      <c r="I109" s="1" t="str">
        <f t="shared" si="9"/>
        <v>ANS_29</v>
      </c>
    </row>
    <row r="110" spans="1:9" s="6" customFormat="1" ht="71.25" x14ac:dyDescent="0.25">
      <c r="A110" s="3" t="s">
        <v>206</v>
      </c>
      <c r="B110" s="4">
        <v>1</v>
      </c>
      <c r="C110" s="8" t="s">
        <v>45</v>
      </c>
      <c r="D110" s="4">
        <v>8</v>
      </c>
      <c r="E110" s="3" t="s">
        <v>36</v>
      </c>
      <c r="F110" s="1" t="s">
        <v>109</v>
      </c>
      <c r="G110" s="1"/>
      <c r="H110" s="1"/>
      <c r="I110" s="1" t="str">
        <f t="shared" si="9"/>
        <v>ANS_30</v>
      </c>
    </row>
    <row r="111" spans="1:9" s="6" customFormat="1" x14ac:dyDescent="0.25">
      <c r="A111" s="3" t="s">
        <v>206</v>
      </c>
      <c r="B111" s="4">
        <v>1</v>
      </c>
      <c r="C111" s="8" t="s">
        <v>45</v>
      </c>
      <c r="D111" s="8">
        <v>9</v>
      </c>
      <c r="E111" s="3" t="s">
        <v>86</v>
      </c>
      <c r="F111" s="1" t="s">
        <v>150</v>
      </c>
      <c r="G111" s="1"/>
      <c r="H111" s="1"/>
      <c r="I111" s="1" t="s">
        <v>101</v>
      </c>
    </row>
    <row r="112" spans="1:9" s="6" customFormat="1" ht="28.5" x14ac:dyDescent="0.25">
      <c r="A112" s="3" t="s">
        <v>206</v>
      </c>
      <c r="B112" s="4">
        <v>1</v>
      </c>
      <c r="C112" s="8" t="s">
        <v>45</v>
      </c>
      <c r="D112" s="4">
        <v>10</v>
      </c>
      <c r="E112" s="3" t="s">
        <v>87</v>
      </c>
      <c r="F112" s="1" t="s">
        <v>111</v>
      </c>
      <c r="G112" s="1"/>
      <c r="H112" s="1"/>
      <c r="I112" s="1" t="str">
        <f t="shared" ref="I112" si="10">IF(E112&gt;0,"ANS_"&amp;E112," ")</f>
        <v>ANS_32</v>
      </c>
    </row>
    <row r="113" spans="1:9" s="6" customFormat="1" ht="28.5" x14ac:dyDescent="0.25">
      <c r="A113" s="3" t="s">
        <v>206</v>
      </c>
      <c r="B113" s="4">
        <v>1</v>
      </c>
      <c r="C113" s="8" t="s">
        <v>45</v>
      </c>
      <c r="D113" s="4">
        <v>10</v>
      </c>
      <c r="E113" s="3" t="s">
        <v>88</v>
      </c>
      <c r="F113" s="1" t="s">
        <v>112</v>
      </c>
      <c r="G113" s="1"/>
      <c r="H113" s="1"/>
      <c r="I113" s="1" t="s">
        <v>102</v>
      </c>
    </row>
    <row r="114" spans="1:9" s="6" customFormat="1" ht="42.75" x14ac:dyDescent="0.25">
      <c r="A114" s="3" t="s">
        <v>206</v>
      </c>
      <c r="B114" s="4">
        <v>1</v>
      </c>
      <c r="C114" s="8" t="s">
        <v>45</v>
      </c>
      <c r="D114" s="4">
        <v>11</v>
      </c>
      <c r="E114" s="3" t="s">
        <v>204</v>
      </c>
      <c r="F114" s="1" t="s">
        <v>196</v>
      </c>
      <c r="G114" s="1"/>
      <c r="H114" s="1"/>
      <c r="I114" s="1" t="str">
        <f t="shared" ref="I114:I121" si="11">IF(E114&gt;0,"ANS_"&amp;E114," ")</f>
        <v>ANS_34</v>
      </c>
    </row>
    <row r="115" spans="1:9" s="6" customFormat="1" ht="57" x14ac:dyDescent="0.25">
      <c r="A115" s="3" t="s">
        <v>206</v>
      </c>
      <c r="B115" s="4">
        <v>1</v>
      </c>
      <c r="C115" s="8" t="s">
        <v>45</v>
      </c>
      <c r="D115" s="4">
        <v>11</v>
      </c>
      <c r="E115" s="3" t="s">
        <v>197</v>
      </c>
      <c r="F115" s="10" t="s">
        <v>159</v>
      </c>
      <c r="G115" s="1"/>
      <c r="H115" s="1"/>
      <c r="I115" s="1"/>
    </row>
    <row r="116" spans="1:9" s="6" customFormat="1" ht="42.75" x14ac:dyDescent="0.25">
      <c r="A116" s="3" t="s">
        <v>206</v>
      </c>
      <c r="B116" s="4">
        <v>1</v>
      </c>
      <c r="C116" s="8" t="s">
        <v>45</v>
      </c>
      <c r="D116" s="4">
        <v>11</v>
      </c>
      <c r="E116" s="3" t="s">
        <v>169</v>
      </c>
      <c r="F116" s="1" t="s">
        <v>160</v>
      </c>
      <c r="G116" s="1"/>
      <c r="H116" s="1"/>
      <c r="I116" s="1" t="str">
        <f t="shared" si="11"/>
        <v>ANS_35</v>
      </c>
    </row>
    <row r="117" spans="1:9" s="6" customFormat="1" ht="28.5" x14ac:dyDescent="0.25">
      <c r="A117" s="3" t="s">
        <v>206</v>
      </c>
      <c r="B117" s="4">
        <v>1</v>
      </c>
      <c r="C117" s="8" t="s">
        <v>45</v>
      </c>
      <c r="D117" s="4">
        <v>11</v>
      </c>
      <c r="E117" s="3" t="s">
        <v>91</v>
      </c>
      <c r="F117" s="1" t="s">
        <v>161</v>
      </c>
      <c r="G117" s="1"/>
      <c r="H117" s="1"/>
      <c r="I117" s="1" t="s">
        <v>199</v>
      </c>
    </row>
    <row r="118" spans="1:9" s="6" customFormat="1" ht="28.5" x14ac:dyDescent="0.25">
      <c r="A118" s="3" t="s">
        <v>206</v>
      </c>
      <c r="B118" s="4">
        <v>1</v>
      </c>
      <c r="C118" s="8" t="s">
        <v>45</v>
      </c>
      <c r="D118" s="8">
        <v>12</v>
      </c>
      <c r="E118" s="3" t="s">
        <v>165</v>
      </c>
      <c r="F118" s="10" t="s">
        <v>202</v>
      </c>
      <c r="G118" s="7"/>
      <c r="H118" s="7"/>
      <c r="I118" s="1" t="str">
        <f t="shared" si="11"/>
        <v>ANS_37</v>
      </c>
    </row>
    <row r="119" spans="1:9" s="6" customFormat="1" ht="85.5" x14ac:dyDescent="0.25">
      <c r="A119" s="3" t="s">
        <v>206</v>
      </c>
      <c r="B119" s="4">
        <v>1</v>
      </c>
      <c r="C119" s="8" t="s">
        <v>45</v>
      </c>
      <c r="D119" s="8">
        <v>12</v>
      </c>
      <c r="E119" s="3" t="s">
        <v>197</v>
      </c>
      <c r="F119" s="10" t="s">
        <v>178</v>
      </c>
      <c r="G119" s="7"/>
      <c r="H119" s="7"/>
      <c r="I119" s="1"/>
    </row>
    <row r="120" spans="1:9" s="6" customFormat="1" ht="28.5" x14ac:dyDescent="0.25">
      <c r="A120" s="3" t="s">
        <v>206</v>
      </c>
      <c r="B120" s="4">
        <v>1</v>
      </c>
      <c r="C120" s="8" t="s">
        <v>45</v>
      </c>
      <c r="D120" s="8">
        <v>13</v>
      </c>
      <c r="E120" s="3" t="s">
        <v>205</v>
      </c>
      <c r="F120" s="10" t="s">
        <v>200</v>
      </c>
      <c r="G120" s="7"/>
      <c r="H120" s="7"/>
      <c r="I120" s="1" t="str">
        <f t="shared" si="11"/>
        <v>ANS_38</v>
      </c>
    </row>
    <row r="121" spans="1:9" s="6" customFormat="1" ht="28.5" x14ac:dyDescent="0.25">
      <c r="A121" s="3" t="s">
        <v>206</v>
      </c>
      <c r="B121" s="4">
        <v>1</v>
      </c>
      <c r="C121" s="8" t="s">
        <v>45</v>
      </c>
      <c r="D121" s="8">
        <v>14</v>
      </c>
      <c r="E121" s="3" t="s">
        <v>166</v>
      </c>
      <c r="F121" s="1" t="s">
        <v>198</v>
      </c>
      <c r="G121" s="7"/>
      <c r="H121" s="7"/>
      <c r="I121" s="1" t="str">
        <f t="shared" si="11"/>
        <v>ANS_39</v>
      </c>
    </row>
    <row r="122" spans="1:9" s="6" customFormat="1" ht="28.5" x14ac:dyDescent="0.25">
      <c r="A122" s="3" t="s">
        <v>206</v>
      </c>
      <c r="B122" s="4">
        <v>1</v>
      </c>
      <c r="C122" s="8" t="s">
        <v>45</v>
      </c>
      <c r="D122" s="8">
        <v>15</v>
      </c>
      <c r="E122" s="3" t="s">
        <v>163</v>
      </c>
      <c r="F122" s="1" t="s">
        <v>201</v>
      </c>
      <c r="G122" s="7"/>
      <c r="H122" s="7"/>
      <c r="I122" s="1" t="s">
        <v>203</v>
      </c>
    </row>
  </sheetData>
  <phoneticPr fontId="1" type="noConversion"/>
  <conditionalFormatting sqref="F49:F76 F86:F113 F1:F39 F123:F1048576">
    <cfRule type="containsText" dxfId="2" priority="16" operator="containsText" text="透過課程(活動)等創新教學機制，可有效提升我">
      <formula>NOT(ISERROR(SEARCH("透過課程(活動)等創新教學機制，可有效提升我",F1)))</formula>
    </cfRule>
    <cfRule type="containsText" dxfId="1" priority="17" operator="containsText" text="您是否有參與下列跨領域創新教學機制">
      <formula>NOT(ISERROR(SEARCH("您是否有參與下列跨領域創新教學機制",F1)))</formula>
    </cfRule>
    <cfRule type="containsText" dxfId="0" priority="18" operator="containsText" text="總結性課程">
      <formula>NOT(ISERROR(SEARCH("總結性課程",F1)))</formula>
    </cfRule>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心怡</cp:lastModifiedBy>
  <dcterms:created xsi:type="dcterms:W3CDTF">2020-07-01T06:00:18Z</dcterms:created>
  <dcterms:modified xsi:type="dcterms:W3CDTF">2025-07-30T02:47:25Z</dcterms:modified>
</cp:coreProperties>
</file>